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aster\Documents\Antigravity program\직무고시 견적서\wkace-quotation-jigmu\"/>
    </mc:Choice>
  </mc:AlternateContent>
  <xr:revisionPtr revIDLastSave="0" documentId="13_ncr:1_{CF4AF699-BE6F-4B95-B880-15F69967646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견적서" sheetId="1" r:id="rId1"/>
  </sheets>
  <definedNames>
    <definedName name="_xlnm.Print_Area" localSheetId="0">견적서!$A$1:$Y$56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1" i="1" l="1"/>
  <c r="C6" i="1"/>
  <c r="U41" i="1"/>
  <c r="T18" i="1" l="1"/>
  <c r="M18" i="1" l="1"/>
</calcChain>
</file>

<file path=xl/sharedStrings.xml><?xml version="1.0" encoding="utf-8"?>
<sst xmlns="http://schemas.openxmlformats.org/spreadsheetml/2006/main" count="233" uniqueCount="135">
  <si>
    <t>일금</t>
    <phoneticPr fontId="2" type="noConversion"/>
  </si>
  <si>
    <t>공
급
자</t>
    <phoneticPr fontId="2" type="noConversion"/>
  </si>
  <si>
    <t>사업자번호</t>
    <phoneticPr fontId="2" type="noConversion"/>
  </si>
  <si>
    <t>접지저항 측정</t>
    <phoneticPr fontId="2" type="noConversion"/>
  </si>
  <si>
    <t>절연 및 접지저항 측정</t>
    <phoneticPr fontId="2" type="noConversion"/>
  </si>
  <si>
    <t>축전지 및 충전장치 점검</t>
    <phoneticPr fontId="2" type="noConversion"/>
  </si>
  <si>
    <t>무부하 또는 부하시험</t>
    <phoneticPr fontId="2" type="noConversion"/>
  </si>
  <si>
    <t>견 적 명 : 직무고시(전기안전)점검</t>
  </si>
  <si>
    <t>아래와 같이 견적서를 제출합니다.</t>
  </si>
  <si>
    <t>서비스업</t>
    <phoneticPr fontId="2" type="noConversion"/>
  </si>
  <si>
    <t>별지 제2호</t>
    <phoneticPr fontId="2" type="noConversion"/>
  </si>
  <si>
    <t>별지 제3호</t>
    <phoneticPr fontId="2" type="noConversion"/>
  </si>
  <si>
    <t>별지 제4호</t>
    <phoneticPr fontId="2" type="noConversion"/>
  </si>
  <si>
    <t>별지 제5호</t>
    <phoneticPr fontId="2" type="noConversion"/>
  </si>
  <si>
    <t>별지 제8호</t>
    <phoneticPr fontId="2" type="noConversion"/>
  </si>
  <si>
    <t>별지 제9호</t>
    <phoneticPr fontId="2" type="noConversion"/>
  </si>
  <si>
    <t>측정·시험항목</t>
    <phoneticPr fontId="2" type="noConversion"/>
  </si>
  <si>
    <t>㈜우경이엠씨</t>
  </si>
  <si>
    <t>215-87-88666</t>
    <phoneticPr fontId="2" type="noConversion"/>
  </si>
  <si>
    <t>별지 제6호</t>
    <phoneticPr fontId="2" type="noConversion"/>
  </si>
  <si>
    <t>차봉석</t>
    <phoneticPr fontId="2" type="noConversion"/>
  </si>
  <si>
    <t>소 재 지</t>
    <phoneticPr fontId="2" type="noConversion"/>
  </si>
  <si>
    <t>상     호</t>
    <phoneticPr fontId="2" type="noConversion"/>
  </si>
  <si>
    <t>업    태</t>
    <phoneticPr fontId="2" type="noConversion"/>
  </si>
  <si>
    <t>담 당 자</t>
    <phoneticPr fontId="2" type="noConversion"/>
  </si>
  <si>
    <t>대   표</t>
    <phoneticPr fontId="2" type="noConversion"/>
  </si>
  <si>
    <t>종  목</t>
    <phoneticPr fontId="2" type="noConversion"/>
  </si>
  <si>
    <t>월차</t>
    <phoneticPr fontId="2" type="noConversion"/>
  </si>
  <si>
    <t>원정</t>
    <phoneticPr fontId="2" type="noConversion"/>
  </si>
  <si>
    <t>2)</t>
    <phoneticPr fontId="2" type="noConversion"/>
  </si>
  <si>
    <t>별지 제1호</t>
    <phoneticPr fontId="2" type="noConversion"/>
  </si>
  <si>
    <t>전기 설비 안전진단 외</t>
    <phoneticPr fontId="2" type="noConversion"/>
  </si>
  <si>
    <t xml:space="preserve">  ③ 수변전실 컨설팅 지원</t>
    <phoneticPr fontId="2" type="noConversion"/>
  </si>
  <si>
    <t>외관점검 및 부하측정</t>
    <phoneticPr fontId="2" type="noConversion"/>
  </si>
  <si>
    <t xml:space="preserve"> 1. 견 적 조 건</t>
    <phoneticPr fontId="2" type="noConversion"/>
  </si>
  <si>
    <t xml:space="preserve"> 2. 사 업 장  현 황</t>
    <phoneticPr fontId="2" type="noConversion"/>
  </si>
  <si>
    <t xml:space="preserve">  ① 본 견적은 최소 실행가격임</t>
    <phoneticPr fontId="2" type="noConversion"/>
  </si>
  <si>
    <t xml:space="preserve">  ② 긴급사고시 긴급복구업무지원(별도비용)</t>
    <phoneticPr fontId="2" type="noConversion"/>
  </si>
  <si>
    <t xml:space="preserve"> 2. 고 객 정 보</t>
    <phoneticPr fontId="2" type="noConversion"/>
  </si>
  <si>
    <t>전기설비(연차) 점검시 현장 전기 안전 집중 교육 실시</t>
    <phoneticPr fontId="2" type="noConversion"/>
  </si>
  <si>
    <t>●</t>
    <phoneticPr fontId="2" type="noConversion"/>
  </si>
  <si>
    <t>별지 제7호</t>
    <phoneticPr fontId="2" type="noConversion"/>
  </si>
  <si>
    <t>비 고</t>
    <phoneticPr fontId="2" type="noConversion"/>
  </si>
  <si>
    <t>금 액</t>
    <phoneticPr fontId="2" type="noConversion"/>
  </si>
  <si>
    <t>절연저항 측정(누설전류로 대체)</t>
    <phoneticPr fontId="2" type="noConversion"/>
  </si>
  <si>
    <t xml:space="preserve"> 저압 전기설비 점검</t>
    <phoneticPr fontId="2" type="noConversion"/>
  </si>
  <si>
    <t xml:space="preserve"> 고압 전기설비 점검</t>
    <phoneticPr fontId="2" type="noConversion"/>
  </si>
  <si>
    <t xml:space="preserve"> 변압기 점검</t>
    <phoneticPr fontId="2" type="noConversion"/>
  </si>
  <si>
    <t xml:space="preserve"> 계전기 및 차단기 동작시험</t>
    <phoneticPr fontId="2" type="noConversion"/>
  </si>
  <si>
    <t xml:space="preserve"> 열화상 적외선측정 진단</t>
    <phoneticPr fontId="2" type="noConversion"/>
  </si>
  <si>
    <t xml:space="preserve"> 전원 품질분석</t>
    <phoneticPr fontId="2" type="noConversion"/>
  </si>
  <si>
    <t xml:space="preserve"> 기록 및 보고서 작성 (자료편집)</t>
    <phoneticPr fontId="2" type="noConversion"/>
  </si>
  <si>
    <t>합 계 금 액</t>
    <phoneticPr fontId="2" type="noConversion"/>
  </si>
  <si>
    <t>)</t>
    <phoneticPr fontId="2" type="noConversion"/>
  </si>
  <si>
    <t>(</t>
    <phoneticPr fontId="2" type="noConversion"/>
  </si>
  <si>
    <t>분기</t>
    <phoneticPr fontId="2" type="noConversion"/>
  </si>
  <si>
    <t>반기</t>
    <phoneticPr fontId="2" type="noConversion"/>
  </si>
  <si>
    <t>연차</t>
    <phoneticPr fontId="2" type="noConversion"/>
  </si>
  <si>
    <t>점 검 주 기</t>
    <phoneticPr fontId="2" type="noConversion"/>
  </si>
  <si>
    <t xml:space="preserve"> 월차점검</t>
    <phoneticPr fontId="2" type="noConversion"/>
  </si>
  <si>
    <t>기록 서식</t>
    <phoneticPr fontId="2" type="noConversion"/>
  </si>
  <si>
    <t>전화번호</t>
    <phoneticPr fontId="2" type="noConversion"/>
  </si>
  <si>
    <t xml:space="preserve"> ① 용인본사 : 경기 용인시 기흥구 죽현로 8-22 휴먼타워 303호</t>
  </si>
  <si>
    <t xml:space="preserve"> ④ 화성지사 : 경기도 화성시 삼성1로5길 6, 원희캐슬 B401호</t>
  </si>
  <si>
    <t xml:space="preserve"> ⑥ 남양주지부 : 경기 남양주시 덕송1로 55번길 6, 212호(별내동, SG타워)</t>
  </si>
  <si>
    <t xml:space="preserve"> ⑦ 김포지부 : 경기 김포시 김포한강9로 75번길 50, 6층</t>
  </si>
  <si>
    <t>합계금액(부가세별도)</t>
    <phoneticPr fontId="2" type="noConversion"/>
  </si>
  <si>
    <t>※ 재계약율 99% 이상의 직무고시 진단 전문 업체 ㈜우경이엠씨</t>
    <phoneticPr fontId="2" type="noConversion"/>
  </si>
  <si>
    <t>1)</t>
    <phoneticPr fontId="2" type="noConversion"/>
  </si>
  <si>
    <t>외관점검</t>
    <phoneticPr fontId="2" type="noConversion"/>
  </si>
  <si>
    <t>절연저항 측정</t>
    <phoneticPr fontId="2" type="noConversion"/>
  </si>
  <si>
    <t xml:space="preserve"> ⑤ 의정부지사 : 의정부시 오목로225번길 161 마운틴프라자 202호</t>
  </si>
  <si>
    <t>절연내력 측정은
코로나 측정장비로
무정전 측정대체</t>
    <phoneticPr fontId="2" type="noConversion"/>
  </si>
  <si>
    <t>절연내력 측정</t>
    <phoneticPr fontId="2" type="noConversion"/>
  </si>
  <si>
    <t>이정국 부장</t>
    <phoneticPr fontId="2" type="noConversion"/>
  </si>
  <si>
    <t>010-5474-3414</t>
    <phoneticPr fontId="2" type="noConversion"/>
  </si>
  <si>
    <t xml:space="preserve"> ▣ 특급기술자 외 4인 점검</t>
    <phoneticPr fontId="2" type="noConversion"/>
  </si>
  <si>
    <t>무정전</t>
    <phoneticPr fontId="2" type="noConversion"/>
  </si>
  <si>
    <t>1회점검</t>
    <phoneticPr fontId="2" type="noConversion"/>
  </si>
  <si>
    <t>2회점검</t>
  </si>
  <si>
    <t>3회점검</t>
  </si>
  <si>
    <t>4회점검</t>
  </si>
  <si>
    <t>정전</t>
    <phoneticPr fontId="2" type="noConversion"/>
  </si>
  <si>
    <t>연차(정전)</t>
    <phoneticPr fontId="2" type="noConversion"/>
  </si>
  <si>
    <t>정전여부</t>
    <phoneticPr fontId="2" type="noConversion"/>
  </si>
  <si>
    <t>범위</t>
    <phoneticPr fontId="2" type="noConversion"/>
  </si>
  <si>
    <t>수전실내배전반</t>
    <phoneticPr fontId="2" type="noConversion"/>
  </si>
  <si>
    <t>수전실내배전반+EPS실</t>
    <phoneticPr fontId="2" type="noConversion"/>
  </si>
  <si>
    <t>+</t>
    <phoneticPr fontId="2" type="noConversion"/>
  </si>
  <si>
    <t>월점검</t>
    <phoneticPr fontId="2" type="noConversion"/>
  </si>
  <si>
    <t>월 15만원*점검개월수(8 or 12)</t>
    <phoneticPr fontId="2" type="noConversion"/>
  </si>
  <si>
    <t>외관점검 및 부하측정(수전실내 배전반까지)</t>
    <phoneticPr fontId="2" type="noConversion"/>
  </si>
  <si>
    <t>각층 공용분전반/기계실MCC판넬 포함</t>
    <phoneticPr fontId="2" type="noConversion"/>
  </si>
  <si>
    <t xml:space="preserve">일   자 : </t>
    <phoneticPr fontId="2" type="noConversion"/>
  </si>
  <si>
    <t xml:space="preserve">고 객 명 : </t>
    <phoneticPr fontId="2" type="noConversion"/>
  </si>
  <si>
    <t xml:space="preserve"> ▣ 견적 조건 : 수전 및 발전 설비점검</t>
    <phoneticPr fontId="2" type="noConversion"/>
  </si>
  <si>
    <t>3)</t>
    <phoneticPr fontId="2" type="noConversion"/>
  </si>
  <si>
    <t>4)</t>
    <phoneticPr fontId="2" type="noConversion"/>
  </si>
  <si>
    <t>정전 또는 무정전</t>
    <phoneticPr fontId="2" type="noConversion"/>
  </si>
  <si>
    <t>수전실내 배전반 또는 EPS실 포함</t>
    <phoneticPr fontId="2" type="noConversion"/>
  </si>
  <si>
    <t>1회 ~ 4회</t>
    <phoneticPr fontId="2" type="noConversion"/>
  </si>
  <si>
    <t>해당 사항 없음 / 있을경우 8회 or 12회</t>
    <phoneticPr fontId="2" type="noConversion"/>
  </si>
  <si>
    <t xml:space="preserve"> ▣ 총설비 용량</t>
  </si>
  <si>
    <t>수전설비 :</t>
    <phoneticPr fontId="2" type="noConversion"/>
  </si>
  <si>
    <t>발전설비 :</t>
    <phoneticPr fontId="2" type="noConversion"/>
  </si>
  <si>
    <t>태양광설비 :</t>
    <phoneticPr fontId="2" type="noConversion"/>
  </si>
  <si>
    <t>기타설비 :</t>
    <phoneticPr fontId="2" type="noConversion"/>
  </si>
  <si>
    <t xml:space="preserve">  ② 연락 번호 : </t>
    <phoneticPr fontId="2" type="noConversion"/>
  </si>
  <si>
    <t xml:space="preserve">  ① 담당자 명  : </t>
    <phoneticPr fontId="2" type="noConversion"/>
  </si>
  <si>
    <t xml:space="preserve">  ③ E-mail :</t>
    <phoneticPr fontId="2" type="noConversion"/>
  </si>
  <si>
    <t xml:space="preserve">  ④ 현장주소 : </t>
    <phoneticPr fontId="2" type="noConversion"/>
  </si>
  <si>
    <t>이정국</t>
    <phoneticPr fontId="2" type="noConversion"/>
  </si>
  <si>
    <t>ceoljk81@naver.com</t>
    <phoneticPr fontId="2" type="noConversion"/>
  </si>
  <si>
    <t>경기도 오산시 삼미로 34 오산대역세교자이</t>
    <phoneticPr fontId="2" type="noConversion"/>
  </si>
  <si>
    <t xml:space="preserve"> ③ 서울지사 : 서울시 송파구 가락로36길 17, 2층 201호(방이동, 골든힐)</t>
    <phoneticPr fontId="2" type="noConversion"/>
  </si>
  <si>
    <t xml:space="preserve"> ② 성남지사 : 경기 성남시 중원구 둔촌대로 300, 상가동1층 122호(하대원동, 아튼빌)</t>
    <phoneticPr fontId="2" type="noConversion"/>
  </si>
  <si>
    <t xml:space="preserve"> ⑧ 인천지사 : 인천광역시 서구 이음3로 149, 6층 601호(당하동, 위너스프라자)</t>
    <phoneticPr fontId="2" type="noConversion"/>
  </si>
  <si>
    <t>22,900V</t>
    <phoneticPr fontId="2" type="noConversion"/>
  </si>
  <si>
    <t>/</t>
    <phoneticPr fontId="2" type="noConversion"/>
  </si>
  <si>
    <t>용량입력자리</t>
    <phoneticPr fontId="2" type="noConversion"/>
  </si>
  <si>
    <t>380V</t>
    <phoneticPr fontId="2" type="noConversion"/>
  </si>
  <si>
    <t xml:space="preserve"> ⑨ 부천지사 : 경기도 부천시 원미구 상동 538-7 다승프라자 307호</t>
    <phoneticPr fontId="2" type="noConversion"/>
  </si>
  <si>
    <t>고객명 입력자리</t>
    <phoneticPr fontId="2" type="noConversion"/>
  </si>
  <si>
    <t xml:space="preserve">월차점검 체크시 </t>
    <phoneticPr fontId="2" type="noConversion"/>
  </si>
  <si>
    <t>5)</t>
  </si>
  <si>
    <t>특이사항 :</t>
  </si>
  <si>
    <t>서울특별시 송파구 가락로 36길 17, 2층201호</t>
    <phoneticPr fontId="2" type="noConversion"/>
  </si>
  <si>
    <r>
      <rPr>
        <b/>
        <u val="double"/>
        <sz val="36"/>
        <color indexed="8"/>
        <rFont val="맑은 고딕"/>
        <family val="3"/>
        <charset val="129"/>
        <scheme val="major"/>
      </rPr>
      <t>견    적    서</t>
    </r>
    <r>
      <rPr>
        <b/>
        <sz val="36"/>
        <color indexed="8"/>
        <rFont val="맑은 고딕"/>
        <family val="3"/>
        <charset val="129"/>
        <scheme val="major"/>
      </rPr>
      <t xml:space="preserve"> </t>
    </r>
    <phoneticPr fontId="2" type="noConversion"/>
  </si>
  <si>
    <t xml:space="preserve">정전여부 : </t>
    <phoneticPr fontId="2" type="noConversion"/>
  </si>
  <si>
    <t>점검횟수 :</t>
    <phoneticPr fontId="2" type="noConversion"/>
  </si>
  <si>
    <t>월차점검 :</t>
    <phoneticPr fontId="2" type="noConversion"/>
  </si>
  <si>
    <t>점검범위 :</t>
    <phoneticPr fontId="2" type="noConversion"/>
  </si>
  <si>
    <t>(전기설비 종합 시험자 인증 2026-C1-0040호)</t>
    <phoneticPr fontId="2" type="noConversion"/>
  </si>
  <si>
    <t xml:space="preserve"> 예비
 발전설비</t>
    <phoneticPr fontId="2" type="noConversion"/>
  </si>
  <si>
    <t xml:space="preserve"> 태양광
 발전설비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</si>
</sst>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1" formatCode="_-* #,##0_-;\-* #,##0_-;_-* &quot;-&quot;_-;_-@_-"/>
    <numFmt numFmtId="176" formatCode="#,##0_);[Red]\(#,##0\)"/>
    <numFmt numFmtId="177" formatCode="[DBNum4][$-412]General"/>
    <numFmt numFmtId="178" formatCode="0&quot;회&quot;"/>
    <numFmt numFmtId="179" formatCode="yyyy&quot;년&quot;\ m&quot;월&quot;\ d&quot;일&quot;;@"/>
  </numFmts>
  <fonts count="31">
    <font>
      <sz val="11"/>
      <name val="굴림체"/>
      <family val="3"/>
      <charset val="129"/>
    </font>
    <font>
      <sz val="11"/>
      <name val="굴림체"/>
      <family val="3"/>
      <charset val="129"/>
    </font>
    <font>
      <sz val="8"/>
      <name val="굴림체"/>
      <family val="3"/>
      <charset val="129"/>
    </font>
    <font>
      <sz val="11"/>
      <color theme="1"/>
      <name val="맑은 고딕"/>
      <family val="3"/>
      <charset val="129"/>
      <scheme val="minor"/>
    </font>
    <font>
      <u/>
      <sz val="11"/>
      <color theme="10"/>
      <name val="굴림체"/>
      <family val="3"/>
      <charset val="129"/>
    </font>
    <font>
      <b/>
      <sz val="36"/>
      <color indexed="8"/>
      <name val="맑은 고딕"/>
      <family val="3"/>
      <charset val="129"/>
      <scheme val="major"/>
    </font>
    <font>
      <b/>
      <u val="double"/>
      <sz val="36"/>
      <color indexed="8"/>
      <name val="맑은 고딕"/>
      <family val="3"/>
      <charset val="129"/>
      <scheme val="major"/>
    </font>
    <font>
      <sz val="11"/>
      <color indexed="8"/>
      <name val="맑은 고딕"/>
      <family val="3"/>
      <charset val="129"/>
      <scheme val="major"/>
    </font>
    <font>
      <b/>
      <sz val="12"/>
      <color indexed="8"/>
      <name val="맑은 고딕"/>
      <family val="3"/>
      <charset val="129"/>
      <scheme val="major"/>
    </font>
    <font>
      <b/>
      <sz val="18"/>
      <color indexed="8"/>
      <name val="맑은 고딕"/>
      <family val="3"/>
      <charset val="129"/>
      <scheme val="major"/>
    </font>
    <font>
      <b/>
      <sz val="16"/>
      <color indexed="8"/>
      <name val="맑은 고딕"/>
      <family val="3"/>
      <charset val="129"/>
      <scheme val="major"/>
    </font>
    <font>
      <b/>
      <sz val="11"/>
      <color indexed="8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b/>
      <sz val="13"/>
      <color indexed="8"/>
      <name val="맑은 고딕"/>
      <family val="3"/>
      <charset val="129"/>
      <scheme val="major"/>
    </font>
    <font>
      <sz val="12"/>
      <color indexed="8"/>
      <name val="맑은 고딕"/>
      <family val="3"/>
      <charset val="129"/>
      <scheme val="major"/>
    </font>
    <font>
      <b/>
      <sz val="12"/>
      <color rgb="FF0070C0"/>
      <name val="맑은 고딕"/>
      <family val="3"/>
      <charset val="129"/>
      <scheme val="major"/>
    </font>
    <font>
      <b/>
      <sz val="12"/>
      <color rgb="FFFF0000"/>
      <name val="맑은 고딕"/>
      <family val="3"/>
      <charset val="129"/>
      <scheme val="major"/>
    </font>
    <font>
      <b/>
      <sz val="12"/>
      <color rgb="FF7030A0"/>
      <name val="맑은 고딕"/>
      <family val="3"/>
      <charset val="129"/>
      <scheme val="major"/>
    </font>
    <font>
      <b/>
      <sz val="15"/>
      <color indexed="8"/>
      <name val="맑은 고딕"/>
      <family val="3"/>
      <charset val="129"/>
      <scheme val="major"/>
    </font>
    <font>
      <b/>
      <sz val="12"/>
      <color rgb="FF0000CC"/>
      <name val="맑은 고딕"/>
      <family val="3"/>
      <charset val="129"/>
      <scheme val="major"/>
    </font>
    <font>
      <u/>
      <sz val="11"/>
      <color theme="10"/>
      <name val="맑은 고딕"/>
      <family val="3"/>
      <charset val="129"/>
      <scheme val="major"/>
    </font>
    <font>
      <sz val="12"/>
      <name val="맑은 고딕"/>
      <family val="3"/>
      <charset val="129"/>
      <scheme val="major"/>
    </font>
    <font>
      <b/>
      <sz val="20"/>
      <color theme="1"/>
      <name val="맑은 고딕"/>
      <family val="3"/>
      <charset val="129"/>
      <scheme val="major"/>
    </font>
    <font>
      <sz val="10"/>
      <color indexed="8"/>
      <name val="맑은 고딕"/>
      <family val="3"/>
      <charset val="129"/>
      <scheme val="major"/>
    </font>
    <font>
      <b/>
      <sz val="14"/>
      <color indexed="8"/>
      <name val="맑은 고딕"/>
      <family val="3"/>
      <charset val="129"/>
      <scheme val="major"/>
    </font>
    <font>
      <b/>
      <sz val="15"/>
      <color theme="1"/>
      <name val="맑은 고딕"/>
      <family val="3"/>
      <charset val="129"/>
      <scheme val="major"/>
    </font>
    <font>
      <b/>
      <sz val="15"/>
      <color rgb="FF0070C0"/>
      <name val="맑은 고딕"/>
      <family val="3"/>
      <charset val="129"/>
      <scheme val="major"/>
    </font>
    <font>
      <b/>
      <sz val="15"/>
      <color rgb="FFFF0000"/>
      <name val="맑은 고딕"/>
      <family val="3"/>
      <charset val="129"/>
      <scheme val="major"/>
    </font>
    <font>
      <sz val="14"/>
      <color indexed="8"/>
      <name val="맑은 고딕"/>
      <family val="3"/>
      <charset val="129"/>
      <scheme val="major"/>
    </font>
    <font>
      <sz val="16"/>
      <color indexed="8"/>
      <name val="맑은 고딕"/>
      <family val="3"/>
      <charset val="129"/>
      <scheme val="major"/>
    </font>
    <font>
      <b/>
      <sz val="16"/>
      <color theme="0"/>
      <name val="맑은 고딕"/>
      <family val="3"/>
      <charset val="129"/>
      <scheme val="major"/>
    </font>
  </fonts>
  <fills count="10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50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64"/>
      </right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medium">
        <color indexed="64"/>
      </bottom>
      <diagonal/>
    </border>
    <border>
      <left/>
      <right style="hair">
        <color indexed="8"/>
      </right>
      <top style="hair">
        <color indexed="8"/>
      </top>
      <bottom style="medium">
        <color indexed="64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/>
      <right/>
      <top style="medium">
        <color indexed="64"/>
      </top>
      <bottom style="hair">
        <color indexed="8"/>
      </bottom>
      <diagonal/>
    </border>
    <border>
      <left/>
      <right style="hair">
        <color indexed="8"/>
      </right>
      <top style="medium">
        <color indexed="64"/>
      </top>
      <bottom style="hair">
        <color indexed="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medium">
        <color indexed="64"/>
      </bottom>
      <diagonal/>
    </border>
    <border>
      <left style="hair">
        <color indexed="8"/>
      </left>
      <right/>
      <top style="medium">
        <color indexed="64"/>
      </top>
      <bottom style="hair">
        <color indexed="8"/>
      </bottom>
      <diagonal/>
    </border>
    <border>
      <left/>
      <right style="medium">
        <color indexed="64"/>
      </right>
      <top style="medium">
        <color indexed="64"/>
      </top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medium">
        <color indexed="64"/>
      </bottom>
      <diagonal/>
    </border>
    <border>
      <left/>
      <right style="medium">
        <color indexed="64"/>
      </right>
      <top style="hair">
        <color indexed="8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/>
      <right/>
      <top/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/>
      <top style="hair">
        <color indexed="8"/>
      </top>
      <bottom style="hair">
        <color indexed="8"/>
      </bottom>
      <diagonal/>
    </border>
    <border>
      <left style="hair">
        <color theme="0" tint="-0.499984740745262"/>
      </left>
      <right/>
      <top style="hair">
        <color indexed="8"/>
      </top>
      <bottom style="medium">
        <color indexed="64"/>
      </bottom>
      <diagonal/>
    </border>
    <border>
      <left style="hair">
        <color theme="0" tint="-0.34998626667073579"/>
      </left>
      <right/>
      <top style="hair">
        <color indexed="8"/>
      </top>
      <bottom style="hair">
        <color indexed="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/>
      <top style="thin">
        <color theme="0" tint="-0.499984740745262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0" tint="-0.499984740745262"/>
      </top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indexed="64"/>
      </right>
      <top/>
      <bottom style="thin">
        <color theme="0" tint="-0.499984740745262"/>
      </bottom>
      <diagonal/>
    </border>
  </borders>
  <cellStyleXfs count="6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center"/>
    </xf>
  </cellStyleXfs>
  <cellXfs count="260">
    <xf numFmtId="0" fontId="0" fillId="0" borderId="0" xfId="0">
      <alignment vertical="center"/>
    </xf>
    <xf numFmtId="0" fontId="7" fillId="0" borderId="0" xfId="0" applyFo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5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8" fillId="0" borderId="1" xfId="0" applyFont="1" applyBorder="1">
      <alignment vertical="center"/>
    </xf>
    <xf numFmtId="0" fontId="8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14" fillId="0" borderId="0" xfId="0" applyFont="1">
      <alignment vertical="center"/>
    </xf>
    <xf numFmtId="0" fontId="8" fillId="0" borderId="21" xfId="0" applyFont="1" applyBorder="1">
      <alignment vertical="center"/>
    </xf>
    <xf numFmtId="0" fontId="8" fillId="0" borderId="27" xfId="0" applyFont="1" applyBorder="1">
      <alignment vertical="center"/>
    </xf>
    <xf numFmtId="0" fontId="8" fillId="0" borderId="22" xfId="0" applyFont="1" applyBorder="1">
      <alignment vertical="center"/>
    </xf>
    <xf numFmtId="0" fontId="8" fillId="0" borderId="27" xfId="0" applyFont="1" applyBorder="1" applyAlignment="1">
      <alignment vertical="center" wrapText="1"/>
    </xf>
    <xf numFmtId="0" fontId="8" fillId="0" borderId="22" xfId="0" applyFont="1" applyBorder="1" applyAlignment="1">
      <alignment vertical="center" wrapText="1"/>
    </xf>
    <xf numFmtId="0" fontId="7" fillId="0" borderId="42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4" xfId="0" applyFont="1" applyBorder="1" applyAlignment="1">
      <alignment horizontal="center" vertical="center"/>
    </xf>
    <xf numFmtId="0" fontId="8" fillId="0" borderId="23" xfId="0" applyFont="1" applyBorder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178" fontId="8" fillId="0" borderId="0" xfId="0" applyNumberFormat="1" applyFont="1" applyAlignment="1">
      <alignment horizontal="left" vertical="center"/>
    </xf>
    <xf numFmtId="178" fontId="15" fillId="0" borderId="0" xfId="0" applyNumberFormat="1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178" fontId="16" fillId="0" borderId="0" xfId="0" applyNumberFormat="1" applyFont="1" applyAlignment="1">
      <alignment horizontal="left" vertical="center"/>
    </xf>
    <xf numFmtId="0" fontId="8" fillId="0" borderId="24" xfId="0" applyFont="1" applyBorder="1" applyAlignment="1">
      <alignment horizontal="center" vertical="center" wrapText="1"/>
    </xf>
    <xf numFmtId="0" fontId="8" fillId="0" borderId="24" xfId="0" applyFont="1" applyBorder="1" applyAlignment="1">
      <alignment vertical="center" wrapText="1"/>
    </xf>
    <xf numFmtId="0" fontId="11" fillId="0" borderId="0" xfId="0" applyFont="1">
      <alignment vertical="center"/>
    </xf>
    <xf numFmtId="0" fontId="7" fillId="0" borderId="45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23" xfId="0" applyFont="1" applyBorder="1">
      <alignment vertical="center"/>
    </xf>
    <xf numFmtId="0" fontId="8" fillId="0" borderId="24" xfId="0" applyFont="1" applyBorder="1">
      <alignment vertical="center"/>
    </xf>
    <xf numFmtId="0" fontId="14" fillId="0" borderId="23" xfId="0" applyFont="1" applyBorder="1">
      <alignment vertical="center"/>
    </xf>
    <xf numFmtId="0" fontId="8" fillId="0" borderId="0" xfId="0" applyFont="1" applyAlignment="1">
      <alignment horizontal="left" vertical="center"/>
    </xf>
    <xf numFmtId="0" fontId="17" fillId="0" borderId="0" xfId="0" applyFont="1">
      <alignment vertical="center"/>
    </xf>
    <xf numFmtId="0" fontId="14" fillId="0" borderId="24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8" fillId="0" borderId="25" xfId="0" applyFont="1" applyBorder="1">
      <alignment vertical="center"/>
    </xf>
    <xf numFmtId="0" fontId="8" fillId="0" borderId="28" xfId="0" applyFont="1" applyBorder="1">
      <alignment vertical="center"/>
    </xf>
    <xf numFmtId="0" fontId="8" fillId="0" borderId="26" xfId="0" applyFont="1" applyBorder="1">
      <alignment vertical="center"/>
    </xf>
    <xf numFmtId="177" fontId="10" fillId="3" borderId="31" xfId="0" applyNumberFormat="1" applyFont="1" applyFill="1" applyBorder="1" applyAlignment="1">
      <alignment horizontal="right" vertical="center" shrinkToFit="1"/>
    </xf>
    <xf numFmtId="176" fontId="10" fillId="3" borderId="30" xfId="0" applyNumberFormat="1" applyFont="1" applyFill="1" applyBorder="1">
      <alignment vertical="center"/>
    </xf>
    <xf numFmtId="0" fontId="10" fillId="0" borderId="0" xfId="0" applyFont="1">
      <alignment vertical="center"/>
    </xf>
    <xf numFmtId="0" fontId="7" fillId="0" borderId="46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48" xfId="0" applyFont="1" applyBorder="1" applyAlignment="1">
      <alignment horizontal="center" vertical="center"/>
    </xf>
    <xf numFmtId="0" fontId="14" fillId="0" borderId="29" xfId="0" applyFont="1" applyBorder="1">
      <alignment vertical="center"/>
    </xf>
    <xf numFmtId="49" fontId="14" fillId="0" borderId="20" xfId="0" applyNumberFormat="1" applyFont="1" applyBorder="1" applyAlignment="1">
      <alignment horizontal="center" vertical="center"/>
    </xf>
    <xf numFmtId="49" fontId="14" fillId="4" borderId="29" xfId="0" applyNumberFormat="1" applyFont="1" applyFill="1" applyBorder="1">
      <alignment vertical="center"/>
    </xf>
    <xf numFmtId="49" fontId="14" fillId="4" borderId="31" xfId="0" applyNumberFormat="1" applyFont="1" applyFill="1" applyBorder="1">
      <alignment vertical="center"/>
    </xf>
    <xf numFmtId="49" fontId="14" fillId="4" borderId="30" xfId="0" applyNumberFormat="1" applyFont="1" applyFill="1" applyBorder="1">
      <alignment vertical="center"/>
    </xf>
    <xf numFmtId="0" fontId="8" fillId="8" borderId="29" xfId="0" applyFont="1" applyFill="1" applyBorder="1" applyAlignment="1">
      <alignment horizontal="left" vertical="center"/>
    </xf>
    <xf numFmtId="49" fontId="14" fillId="8" borderId="20" xfId="0" applyNumberFormat="1" applyFont="1" applyFill="1" applyBorder="1">
      <alignment vertical="center"/>
    </xf>
    <xf numFmtId="0" fontId="8" fillId="0" borderId="20" xfId="0" applyFont="1" applyBorder="1" applyAlignment="1">
      <alignment horizontal="center" vertical="center"/>
    </xf>
    <xf numFmtId="0" fontId="19" fillId="0" borderId="36" xfId="0" applyFont="1" applyBorder="1">
      <alignment vertical="center"/>
    </xf>
    <xf numFmtId="0" fontId="19" fillId="0" borderId="27" xfId="0" applyFont="1" applyBorder="1">
      <alignment vertical="center"/>
    </xf>
    <xf numFmtId="0" fontId="19" fillId="0" borderId="22" xfId="0" applyFont="1" applyBorder="1">
      <alignment vertical="center"/>
    </xf>
    <xf numFmtId="0" fontId="14" fillId="0" borderId="0" xfId="0" applyFont="1" applyAlignment="1">
      <alignment horizontal="center" vertical="center"/>
    </xf>
    <xf numFmtId="0" fontId="14" fillId="0" borderId="37" xfId="0" applyFont="1" applyBorder="1">
      <alignment vertical="center"/>
    </xf>
    <xf numFmtId="0" fontId="14" fillId="8" borderId="37" xfId="0" applyFont="1" applyFill="1" applyBorder="1">
      <alignment vertical="center"/>
    </xf>
    <xf numFmtId="0" fontId="7" fillId="8" borderId="0" xfId="0" applyFont="1" applyFill="1">
      <alignment vertical="center"/>
    </xf>
    <xf numFmtId="0" fontId="7" fillId="8" borderId="24" xfId="0" applyFont="1" applyFill="1" applyBorder="1">
      <alignment vertical="center"/>
    </xf>
    <xf numFmtId="0" fontId="14" fillId="0" borderId="37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24" xfId="0" applyFont="1" applyBorder="1" applyAlignment="1">
      <alignment horizontal="left" vertical="center"/>
    </xf>
    <xf numFmtId="0" fontId="19" fillId="0" borderId="23" xfId="0" applyFont="1" applyBorder="1">
      <alignment vertical="center"/>
    </xf>
    <xf numFmtId="0" fontId="19" fillId="0" borderId="0" xfId="0" applyFont="1">
      <alignment vertical="center"/>
    </xf>
    <xf numFmtId="0" fontId="14" fillId="0" borderId="23" xfId="0" applyFont="1" applyBorder="1" applyAlignment="1">
      <alignment horizontal="left" vertical="center"/>
    </xf>
    <xf numFmtId="0" fontId="23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0" fillId="0" borderId="0" xfId="5" applyFont="1" applyAlignment="1">
      <alignment horizontal="left" vertical="center" wrapText="1"/>
    </xf>
    <xf numFmtId="0" fontId="20" fillId="0" borderId="39" xfId="5" applyFont="1" applyBorder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14" fillId="0" borderId="39" xfId="0" applyFont="1" applyBorder="1" applyAlignment="1">
      <alignment horizontal="left" vertical="center" wrapText="1"/>
    </xf>
    <xf numFmtId="0" fontId="19" fillId="0" borderId="21" xfId="0" applyFont="1" applyBorder="1" applyAlignment="1">
      <alignment horizontal="left" vertical="center" wrapText="1"/>
    </xf>
    <xf numFmtId="0" fontId="19" fillId="0" borderId="27" xfId="0" applyFont="1" applyBorder="1" applyAlignment="1">
      <alignment horizontal="left" vertical="center" wrapText="1"/>
    </xf>
    <xf numFmtId="0" fontId="19" fillId="0" borderId="38" xfId="0" applyFont="1" applyBorder="1" applyAlignment="1">
      <alignment horizontal="left" vertical="center" wrapText="1"/>
    </xf>
    <xf numFmtId="0" fontId="14" fillId="0" borderId="23" xfId="0" applyFont="1" applyBorder="1" applyAlignment="1">
      <alignment horizontal="left" vertical="center" wrapText="1"/>
    </xf>
    <xf numFmtId="0" fontId="21" fillId="0" borderId="0" xfId="0" applyFont="1" applyAlignment="1">
      <alignment horizontal="left" vertical="top" wrapText="1"/>
    </xf>
    <xf numFmtId="0" fontId="21" fillId="0" borderId="39" xfId="0" applyFont="1" applyBorder="1" applyAlignment="1">
      <alignment horizontal="left" vertical="top" wrapText="1"/>
    </xf>
    <xf numFmtId="0" fontId="21" fillId="0" borderId="28" xfId="0" applyFont="1" applyBorder="1" applyAlignment="1">
      <alignment horizontal="left" vertical="top" wrapText="1"/>
    </xf>
    <xf numFmtId="0" fontId="21" fillId="0" borderId="49" xfId="0" applyFont="1" applyBorder="1" applyAlignment="1">
      <alignment horizontal="left" vertical="top" wrapText="1"/>
    </xf>
    <xf numFmtId="176" fontId="10" fillId="3" borderId="31" xfId="0" applyNumberFormat="1" applyFont="1" applyFill="1" applyBorder="1" applyAlignment="1">
      <alignment horizontal="center" vertical="center" shrinkToFit="1"/>
    </xf>
    <xf numFmtId="0" fontId="10" fillId="3" borderId="29" xfId="0" applyFont="1" applyFill="1" applyBorder="1" applyAlignment="1">
      <alignment horizontal="center" vertical="center"/>
    </xf>
    <xf numFmtId="0" fontId="10" fillId="3" borderId="31" xfId="0" applyFont="1" applyFill="1" applyBorder="1" applyAlignment="1">
      <alignment horizontal="center" vertical="center"/>
    </xf>
    <xf numFmtId="177" fontId="10" fillId="3" borderId="31" xfId="0" applyNumberFormat="1" applyFont="1" applyFill="1" applyBorder="1" applyAlignment="1">
      <alignment horizontal="center" vertical="center" shrinkToFit="1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79" fontId="13" fillId="0" borderId="0" xfId="0" applyNumberFormat="1" applyFont="1" applyAlignment="1">
      <alignment horizontal="left" vertical="center"/>
    </xf>
    <xf numFmtId="0" fontId="8" fillId="0" borderId="27" xfId="0" applyFont="1" applyBorder="1" applyAlignment="1">
      <alignment horizontal="center" vertical="center"/>
    </xf>
    <xf numFmtId="0" fontId="11" fillId="2" borderId="14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41" fontId="8" fillId="0" borderId="0" xfId="1" applyFont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2" borderId="13" xfId="0" applyFont="1" applyFill="1" applyBorder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8" fillId="0" borderId="25" xfId="0" applyFont="1" applyBorder="1" applyAlignment="1">
      <alignment horizontal="left" vertical="center"/>
    </xf>
    <xf numFmtId="0" fontId="8" fillId="0" borderId="28" xfId="0" applyFont="1" applyBorder="1" applyAlignment="1">
      <alignment horizontal="left" vertical="center"/>
    </xf>
    <xf numFmtId="0" fontId="8" fillId="0" borderId="26" xfId="0" applyFont="1" applyBorder="1" applyAlignment="1">
      <alignment horizontal="left" vertical="center"/>
    </xf>
    <xf numFmtId="0" fontId="11" fillId="2" borderId="34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 wrapText="1"/>
    </xf>
    <xf numFmtId="0" fontId="22" fillId="7" borderId="29" xfId="0" applyFont="1" applyFill="1" applyBorder="1" applyAlignment="1">
      <alignment horizontal="center" vertical="center"/>
    </xf>
    <xf numFmtId="0" fontId="22" fillId="7" borderId="31" xfId="0" applyFont="1" applyFill="1" applyBorder="1" applyAlignment="1">
      <alignment horizontal="center" vertical="center"/>
    </xf>
    <xf numFmtId="0" fontId="22" fillId="7" borderId="30" xfId="0" applyFont="1" applyFill="1" applyBorder="1" applyAlignment="1">
      <alignment horizontal="center" vertical="center"/>
    </xf>
    <xf numFmtId="0" fontId="11" fillId="2" borderId="32" xfId="0" applyFont="1" applyFill="1" applyBorder="1" applyAlignment="1">
      <alignment horizontal="center" vertical="center"/>
    </xf>
    <xf numFmtId="0" fontId="11" fillId="9" borderId="33" xfId="0" applyFont="1" applyFill="1" applyBorder="1" applyAlignment="1">
      <alignment horizontal="center" vertical="center"/>
    </xf>
    <xf numFmtId="0" fontId="11" fillId="9" borderId="5" xfId="0" applyFont="1" applyFill="1" applyBorder="1" applyAlignment="1">
      <alignment horizontal="center" vertical="center"/>
    </xf>
    <xf numFmtId="0" fontId="11" fillId="9" borderId="6" xfId="0" applyFont="1" applyFill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shrinkToFit="1"/>
    </xf>
    <xf numFmtId="0" fontId="11" fillId="0" borderId="3" xfId="0" applyFont="1" applyBorder="1" applyAlignment="1">
      <alignment horizontal="center" vertical="center" shrinkToFit="1"/>
    </xf>
    <xf numFmtId="0" fontId="11" fillId="0" borderId="4" xfId="0" applyFont="1" applyBorder="1" applyAlignment="1">
      <alignment horizontal="center" vertical="center" shrinkToFit="1"/>
    </xf>
    <xf numFmtId="0" fontId="11" fillId="0" borderId="19" xfId="0" applyFont="1" applyBorder="1" applyAlignment="1">
      <alignment horizontal="center" vertical="center"/>
    </xf>
    <xf numFmtId="0" fontId="10" fillId="3" borderId="29" xfId="0" applyFont="1" applyFill="1" applyBorder="1" applyAlignment="1">
      <alignment horizontal="center" vertical="center" wrapText="1"/>
    </xf>
    <xf numFmtId="0" fontId="10" fillId="3" borderId="31" xfId="0" applyFont="1" applyFill="1" applyBorder="1" applyAlignment="1">
      <alignment horizontal="center" vertical="center" wrapText="1"/>
    </xf>
    <xf numFmtId="0" fontId="10" fillId="3" borderId="30" xfId="0" applyFont="1" applyFill="1" applyBorder="1" applyAlignment="1">
      <alignment horizontal="center" vertical="center" wrapText="1"/>
    </xf>
    <xf numFmtId="41" fontId="14" fillId="0" borderId="21" xfId="1" applyFont="1" applyBorder="1" applyAlignment="1">
      <alignment horizontal="center" vertical="center" wrapText="1" shrinkToFit="1"/>
    </xf>
    <xf numFmtId="41" fontId="14" fillId="0" borderId="27" xfId="1" applyFont="1" applyBorder="1" applyAlignment="1">
      <alignment horizontal="center" vertical="center" shrinkToFit="1"/>
    </xf>
    <xf numFmtId="41" fontId="14" fillId="0" borderId="22" xfId="1" applyFont="1" applyBorder="1" applyAlignment="1">
      <alignment horizontal="center" vertical="center" shrinkToFit="1"/>
    </xf>
    <xf numFmtId="41" fontId="14" fillId="0" borderId="23" xfId="1" applyFont="1" applyBorder="1" applyAlignment="1">
      <alignment horizontal="center" vertical="center" shrinkToFit="1"/>
    </xf>
    <xf numFmtId="41" fontId="14" fillId="0" borderId="0" xfId="1" applyFont="1" applyBorder="1" applyAlignment="1">
      <alignment horizontal="center" vertical="center" shrinkToFit="1"/>
    </xf>
    <xf numFmtId="41" fontId="14" fillId="0" borderId="24" xfId="1" applyFont="1" applyBorder="1" applyAlignment="1">
      <alignment horizontal="center" vertical="center" shrinkToFit="1"/>
    </xf>
    <xf numFmtId="41" fontId="14" fillId="0" borderId="25" xfId="1" applyFont="1" applyBorder="1" applyAlignment="1">
      <alignment horizontal="center" vertical="center" shrinkToFit="1"/>
    </xf>
    <xf numFmtId="41" fontId="14" fillId="0" borderId="28" xfId="1" applyFont="1" applyBorder="1" applyAlignment="1">
      <alignment horizontal="center" vertical="center" shrinkToFit="1"/>
    </xf>
    <xf numFmtId="41" fontId="14" fillId="0" borderId="26" xfId="1" applyFont="1" applyBorder="1" applyAlignment="1">
      <alignment horizontal="center" vertical="center" shrinkToFit="1"/>
    </xf>
    <xf numFmtId="41" fontId="14" fillId="0" borderId="21" xfId="1" applyFont="1" applyBorder="1" applyAlignment="1">
      <alignment horizontal="center" vertical="center" shrinkToFit="1"/>
    </xf>
    <xf numFmtId="41" fontId="14" fillId="0" borderId="29" xfId="1" applyFont="1" applyBorder="1" applyAlignment="1">
      <alignment horizontal="center" vertical="center" shrinkToFit="1"/>
    </xf>
    <xf numFmtId="41" fontId="14" fillId="0" borderId="31" xfId="1" applyFont="1" applyBorder="1" applyAlignment="1">
      <alignment horizontal="center" vertical="center" shrinkToFit="1"/>
    </xf>
    <xf numFmtId="41" fontId="14" fillId="0" borderId="30" xfId="1" applyFont="1" applyBorder="1" applyAlignment="1">
      <alignment horizontal="center" vertical="center" shrinkToFit="1"/>
    </xf>
    <xf numFmtId="41" fontId="14" fillId="0" borderId="27" xfId="1" applyFont="1" applyBorder="1" applyAlignment="1">
      <alignment horizontal="center" vertical="center" wrapText="1" shrinkToFit="1"/>
    </xf>
    <xf numFmtId="41" fontId="14" fillId="0" borderId="22" xfId="1" applyFont="1" applyBorder="1" applyAlignment="1">
      <alignment horizontal="center" vertical="center" wrapText="1" shrinkToFit="1"/>
    </xf>
    <xf numFmtId="41" fontId="14" fillId="0" borderId="23" xfId="1" applyFont="1" applyBorder="1" applyAlignment="1">
      <alignment horizontal="center" vertical="center" wrapText="1" shrinkToFit="1"/>
    </xf>
    <xf numFmtId="41" fontId="14" fillId="0" borderId="0" xfId="1" applyFont="1" applyBorder="1" applyAlignment="1">
      <alignment horizontal="center" vertical="center" wrapText="1" shrinkToFit="1"/>
    </xf>
    <xf numFmtId="41" fontId="14" fillId="0" borderId="24" xfId="1" applyFont="1" applyBorder="1" applyAlignment="1">
      <alignment horizontal="center" vertical="center" wrapText="1" shrinkToFit="1"/>
    </xf>
    <xf numFmtId="41" fontId="14" fillId="0" borderId="25" xfId="1" applyFont="1" applyBorder="1" applyAlignment="1">
      <alignment horizontal="center" vertical="center" wrapText="1" shrinkToFit="1"/>
    </xf>
    <xf numFmtId="41" fontId="14" fillId="0" borderId="28" xfId="1" applyFont="1" applyBorder="1" applyAlignment="1">
      <alignment horizontal="center" vertical="center" wrapText="1" shrinkToFit="1"/>
    </xf>
    <xf numFmtId="41" fontId="14" fillId="0" borderId="26" xfId="1" applyFont="1" applyBorder="1" applyAlignment="1">
      <alignment horizontal="center" vertical="center" wrapText="1" shrinkToFit="1"/>
    </xf>
    <xf numFmtId="176" fontId="8" fillId="0" borderId="21" xfId="1" applyNumberFormat="1" applyFont="1" applyBorder="1" applyAlignment="1">
      <alignment horizontal="center" vertical="center" shrinkToFit="1"/>
    </xf>
    <xf numFmtId="176" fontId="8" fillId="0" borderId="27" xfId="1" applyNumberFormat="1" applyFont="1" applyBorder="1" applyAlignment="1">
      <alignment horizontal="center" vertical="center" shrinkToFit="1"/>
    </xf>
    <xf numFmtId="176" fontId="8" fillId="0" borderId="22" xfId="1" applyNumberFormat="1" applyFont="1" applyBorder="1" applyAlignment="1">
      <alignment horizontal="center" vertical="center" shrinkToFit="1"/>
    </xf>
    <xf numFmtId="176" fontId="8" fillId="0" borderId="23" xfId="1" applyNumberFormat="1" applyFont="1" applyBorder="1" applyAlignment="1">
      <alignment horizontal="center" vertical="center" shrinkToFit="1"/>
    </xf>
    <xf numFmtId="176" fontId="8" fillId="0" borderId="0" xfId="1" applyNumberFormat="1" applyFont="1" applyBorder="1" applyAlignment="1">
      <alignment horizontal="center" vertical="center" shrinkToFit="1"/>
    </xf>
    <xf numFmtId="176" fontId="8" fillId="0" borderId="24" xfId="1" applyNumberFormat="1" applyFont="1" applyBorder="1" applyAlignment="1">
      <alignment horizontal="center" vertical="center" shrinkToFit="1"/>
    </xf>
    <xf numFmtId="176" fontId="8" fillId="0" borderId="25" xfId="1" applyNumberFormat="1" applyFont="1" applyBorder="1" applyAlignment="1">
      <alignment horizontal="center" vertical="center" shrinkToFit="1"/>
    </xf>
    <xf numFmtId="176" fontId="8" fillId="0" borderId="28" xfId="1" applyNumberFormat="1" applyFont="1" applyBorder="1" applyAlignment="1">
      <alignment horizontal="center" vertical="center" shrinkToFit="1"/>
    </xf>
    <xf numFmtId="176" fontId="8" fillId="0" borderId="26" xfId="1" applyNumberFormat="1" applyFont="1" applyBorder="1" applyAlignment="1">
      <alignment horizontal="center" vertical="center" shrinkToFit="1"/>
    </xf>
    <xf numFmtId="0" fontId="24" fillId="0" borderId="29" xfId="0" applyFont="1" applyBorder="1" applyAlignment="1">
      <alignment horizontal="center" vertical="center"/>
    </xf>
    <xf numFmtId="0" fontId="24" fillId="0" borderId="31" xfId="0" applyFont="1" applyBorder="1" applyAlignment="1">
      <alignment horizontal="center" vertical="center"/>
    </xf>
    <xf numFmtId="0" fontId="24" fillId="0" borderId="3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9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5" xfId="0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35" xfId="0" applyFont="1" applyBorder="1" applyAlignment="1">
      <alignment horizontal="center" vertical="center"/>
    </xf>
    <xf numFmtId="0" fontId="25" fillId="0" borderId="35" xfId="0" applyFont="1" applyBorder="1" applyAlignment="1">
      <alignment horizontal="center" vertical="center"/>
    </xf>
    <xf numFmtId="0" fontId="26" fillId="0" borderId="35" xfId="0" applyFont="1" applyBorder="1" applyAlignment="1">
      <alignment horizontal="center" vertical="center"/>
    </xf>
    <xf numFmtId="0" fontId="27" fillId="0" borderId="35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 wrapText="1"/>
    </xf>
    <xf numFmtId="0" fontId="18" fillId="0" borderId="28" xfId="0" applyFont="1" applyBorder="1" applyAlignment="1">
      <alignment horizontal="center" vertical="center" wrapText="1"/>
    </xf>
    <xf numFmtId="0" fontId="18" fillId="0" borderId="26" xfId="0" applyFont="1" applyBorder="1" applyAlignment="1">
      <alignment horizontal="center" vertical="center" wrapText="1"/>
    </xf>
    <xf numFmtId="0" fontId="28" fillId="0" borderId="29" xfId="0" applyFont="1" applyBorder="1" applyAlignment="1">
      <alignment horizontal="center" vertical="center"/>
    </xf>
    <xf numFmtId="0" fontId="28" fillId="0" borderId="31" xfId="0" applyFont="1" applyBorder="1" applyAlignment="1">
      <alignment horizontal="center" vertical="center"/>
    </xf>
    <xf numFmtId="0" fontId="28" fillId="0" borderId="30" xfId="0" applyFont="1" applyBorder="1" applyAlignment="1">
      <alignment horizontal="center" vertical="center"/>
    </xf>
    <xf numFmtId="176" fontId="24" fillId="0" borderId="29" xfId="0" applyNumberFormat="1" applyFont="1" applyBorder="1" applyAlignment="1">
      <alignment horizontal="right" vertical="center" shrinkToFit="1"/>
    </xf>
    <xf numFmtId="176" fontId="24" fillId="0" borderId="31" xfId="0" applyNumberFormat="1" applyFont="1" applyBorder="1" applyAlignment="1">
      <alignment horizontal="right" vertical="center" shrinkToFit="1"/>
    </xf>
    <xf numFmtId="176" fontId="24" fillId="0" borderId="30" xfId="0" applyNumberFormat="1" applyFont="1" applyBorder="1" applyAlignment="1">
      <alignment horizontal="right" vertical="center" shrinkToFit="1"/>
    </xf>
    <xf numFmtId="49" fontId="28" fillId="0" borderId="21" xfId="0" applyNumberFormat="1" applyFont="1" applyBorder="1" applyAlignment="1">
      <alignment horizontal="center" vertical="center"/>
    </xf>
    <xf numFmtId="49" fontId="28" fillId="0" borderId="27" xfId="0" applyNumberFormat="1" applyFont="1" applyBorder="1" applyAlignment="1">
      <alignment horizontal="center" vertical="center"/>
    </xf>
    <xf numFmtId="49" fontId="28" fillId="0" borderId="22" xfId="0" applyNumberFormat="1" applyFont="1" applyBorder="1" applyAlignment="1">
      <alignment horizontal="center" vertical="center"/>
    </xf>
    <xf numFmtId="176" fontId="24" fillId="0" borderId="21" xfId="1" applyNumberFormat="1" applyFont="1" applyBorder="1" applyAlignment="1">
      <alignment horizontal="right" vertical="center" shrinkToFit="1"/>
    </xf>
    <xf numFmtId="176" fontId="24" fillId="0" borderId="27" xfId="1" applyNumberFormat="1" applyFont="1" applyBorder="1" applyAlignment="1">
      <alignment horizontal="right" vertical="center" shrinkToFit="1"/>
    </xf>
    <xf numFmtId="176" fontId="24" fillId="0" borderId="22" xfId="1" applyNumberFormat="1" applyFont="1" applyBorder="1" applyAlignment="1">
      <alignment horizontal="right" vertical="center" shrinkToFit="1"/>
    </xf>
    <xf numFmtId="0" fontId="28" fillId="0" borderId="31" xfId="0" applyFont="1" applyBorder="1" applyAlignment="1">
      <alignment horizontal="left" vertical="center"/>
    </xf>
    <xf numFmtId="0" fontId="28" fillId="0" borderId="30" xfId="0" applyFont="1" applyBorder="1" applyAlignment="1">
      <alignment horizontal="left" vertical="center"/>
    </xf>
    <xf numFmtId="49" fontId="28" fillId="0" borderId="23" xfId="0" applyNumberFormat="1" applyFont="1" applyBorder="1" applyAlignment="1">
      <alignment horizontal="center" vertical="center"/>
    </xf>
    <xf numFmtId="49" fontId="28" fillId="0" borderId="0" xfId="0" applyNumberFormat="1" applyFont="1" applyAlignment="1">
      <alignment horizontal="center" vertical="center"/>
    </xf>
    <xf numFmtId="49" fontId="28" fillId="0" borderId="24" xfId="0" applyNumberFormat="1" applyFont="1" applyBorder="1" applyAlignment="1">
      <alignment horizontal="center" vertical="center"/>
    </xf>
    <xf numFmtId="176" fontId="24" fillId="0" borderId="23" xfId="1" applyNumberFormat="1" applyFont="1" applyBorder="1" applyAlignment="1">
      <alignment horizontal="right" vertical="center" shrinkToFit="1"/>
    </xf>
    <xf numFmtId="176" fontId="24" fillId="0" borderId="0" xfId="1" applyNumberFormat="1" applyFont="1" applyBorder="1" applyAlignment="1">
      <alignment horizontal="right" vertical="center" shrinkToFit="1"/>
    </xf>
    <xf numFmtId="176" fontId="24" fillId="0" borderId="24" xfId="1" applyNumberFormat="1" applyFont="1" applyBorder="1" applyAlignment="1">
      <alignment horizontal="right" vertical="center" shrinkToFit="1"/>
    </xf>
    <xf numFmtId="49" fontId="28" fillId="0" borderId="25" xfId="0" applyNumberFormat="1" applyFont="1" applyBorder="1" applyAlignment="1">
      <alignment horizontal="center" vertical="center"/>
    </xf>
    <xf numFmtId="49" fontId="28" fillId="0" borderId="28" xfId="0" applyNumberFormat="1" applyFont="1" applyBorder="1" applyAlignment="1">
      <alignment horizontal="center" vertical="center"/>
    </xf>
    <xf numFmtId="49" fontId="28" fillId="0" borderId="26" xfId="0" applyNumberFormat="1" applyFont="1" applyBorder="1" applyAlignment="1">
      <alignment horizontal="center" vertical="center"/>
    </xf>
    <xf numFmtId="176" fontId="24" fillId="0" borderId="25" xfId="1" applyNumberFormat="1" applyFont="1" applyBorder="1" applyAlignment="1">
      <alignment horizontal="right" vertical="center" shrinkToFit="1"/>
    </xf>
    <xf numFmtId="176" fontId="24" fillId="0" borderId="28" xfId="1" applyNumberFormat="1" applyFont="1" applyBorder="1" applyAlignment="1">
      <alignment horizontal="right" vertical="center" shrinkToFit="1"/>
    </xf>
    <xf numFmtId="176" fontId="24" fillId="0" borderId="26" xfId="1" applyNumberFormat="1" applyFont="1" applyBorder="1" applyAlignment="1">
      <alignment horizontal="right" vertical="center" shrinkToFit="1"/>
    </xf>
    <xf numFmtId="49" fontId="28" fillId="0" borderId="29" xfId="0" applyNumberFormat="1" applyFont="1" applyBorder="1" applyAlignment="1">
      <alignment horizontal="center" vertical="center"/>
    </xf>
    <xf numFmtId="49" fontId="28" fillId="0" borderId="31" xfId="0" applyNumberFormat="1" applyFont="1" applyBorder="1" applyAlignment="1">
      <alignment horizontal="center" vertical="center"/>
    </xf>
    <xf numFmtId="49" fontId="28" fillId="0" borderId="30" xfId="0" applyNumberFormat="1" applyFont="1" applyBorder="1" applyAlignment="1">
      <alignment horizontal="center" vertical="center"/>
    </xf>
    <xf numFmtId="176" fontId="24" fillId="0" borderId="21" xfId="0" applyNumberFormat="1" applyFont="1" applyBorder="1" applyAlignment="1">
      <alignment horizontal="right" vertical="center"/>
    </xf>
    <xf numFmtId="176" fontId="24" fillId="0" borderId="27" xfId="0" applyNumberFormat="1" applyFont="1" applyBorder="1" applyAlignment="1">
      <alignment horizontal="right" vertical="center"/>
    </xf>
    <xf numFmtId="176" fontId="24" fillId="0" borderId="22" xfId="0" applyNumberFormat="1" applyFont="1" applyBorder="1" applyAlignment="1">
      <alignment horizontal="right" vertical="center"/>
    </xf>
    <xf numFmtId="176" fontId="24" fillId="0" borderId="23" xfId="0" applyNumberFormat="1" applyFont="1" applyBorder="1" applyAlignment="1">
      <alignment horizontal="right" vertical="center"/>
    </xf>
    <xf numFmtId="176" fontId="24" fillId="0" borderId="0" xfId="0" applyNumberFormat="1" applyFont="1" applyAlignment="1">
      <alignment horizontal="right" vertical="center"/>
    </xf>
    <xf numFmtId="176" fontId="24" fillId="0" borderId="24" xfId="0" applyNumberFormat="1" applyFont="1" applyBorder="1" applyAlignment="1">
      <alignment horizontal="right" vertical="center"/>
    </xf>
    <xf numFmtId="176" fontId="24" fillId="0" borderId="25" xfId="0" applyNumberFormat="1" applyFont="1" applyBorder="1" applyAlignment="1">
      <alignment horizontal="right" vertical="center"/>
    </xf>
    <xf numFmtId="176" fontId="24" fillId="0" borderId="28" xfId="0" applyNumberFormat="1" applyFont="1" applyBorder="1" applyAlignment="1">
      <alignment horizontal="right" vertical="center"/>
    </xf>
    <xf numFmtId="176" fontId="24" fillId="0" borderId="26" xfId="0" applyNumberFormat="1" applyFont="1" applyBorder="1" applyAlignment="1">
      <alignment horizontal="right" vertical="center"/>
    </xf>
    <xf numFmtId="176" fontId="24" fillId="0" borderId="29" xfId="1" applyNumberFormat="1" applyFont="1" applyBorder="1" applyAlignment="1">
      <alignment horizontal="right" vertical="center" shrinkToFit="1"/>
    </xf>
    <xf numFmtId="176" fontId="24" fillId="0" borderId="31" xfId="1" applyNumberFormat="1" applyFont="1" applyBorder="1" applyAlignment="1">
      <alignment horizontal="right" vertical="center" shrinkToFit="1"/>
    </xf>
    <xf numFmtId="176" fontId="24" fillId="0" borderId="30" xfId="1" applyNumberFormat="1" applyFont="1" applyBorder="1" applyAlignment="1">
      <alignment horizontal="right" vertical="center" shrinkToFit="1"/>
    </xf>
    <xf numFmtId="176" fontId="24" fillId="0" borderId="35" xfId="1" applyNumberFormat="1" applyFont="1" applyBorder="1" applyAlignment="1">
      <alignment horizontal="right" vertical="center" shrinkToFit="1"/>
    </xf>
    <xf numFmtId="176" fontId="24" fillId="0" borderId="40" xfId="1" applyNumberFormat="1" applyFont="1" applyBorder="1" applyAlignment="1">
      <alignment horizontal="right" vertical="center" shrinkToFit="1"/>
    </xf>
    <xf numFmtId="176" fontId="24" fillId="0" borderId="41" xfId="1" applyNumberFormat="1" applyFont="1" applyBorder="1" applyAlignment="1">
      <alignment horizontal="right" vertical="center" shrinkToFit="1"/>
    </xf>
    <xf numFmtId="0" fontId="10" fillId="4" borderId="29" xfId="0" applyFont="1" applyFill="1" applyBorder="1" applyAlignment="1">
      <alignment horizontal="left" vertical="center"/>
    </xf>
    <xf numFmtId="0" fontId="10" fillId="4" borderId="31" xfId="0" applyFont="1" applyFill="1" applyBorder="1" applyAlignment="1">
      <alignment horizontal="left" vertical="center"/>
    </xf>
    <xf numFmtId="0" fontId="10" fillId="4" borderId="30" xfId="0" applyFont="1" applyFill="1" applyBorder="1" applyAlignment="1">
      <alignment horizontal="left" vertical="center"/>
    </xf>
    <xf numFmtId="0" fontId="29" fillId="4" borderId="29" xfId="0" applyFont="1" applyFill="1" applyBorder="1" applyAlignment="1">
      <alignment horizontal="center" vertical="center"/>
    </xf>
    <xf numFmtId="0" fontId="29" fillId="4" borderId="31" xfId="0" applyFont="1" applyFill="1" applyBorder="1" applyAlignment="1">
      <alignment horizontal="center" vertical="center"/>
    </xf>
    <xf numFmtId="0" fontId="29" fillId="4" borderId="30" xfId="0" applyFont="1" applyFill="1" applyBorder="1" applyAlignment="1">
      <alignment horizontal="center" vertical="center"/>
    </xf>
    <xf numFmtId="0" fontId="10" fillId="4" borderId="21" xfId="0" applyFont="1" applyFill="1" applyBorder="1" applyAlignment="1">
      <alignment horizontal="left" vertical="center" wrapText="1"/>
    </xf>
    <xf numFmtId="0" fontId="10" fillId="4" borderId="27" xfId="0" applyFont="1" applyFill="1" applyBorder="1" applyAlignment="1">
      <alignment horizontal="left" vertical="center"/>
    </xf>
    <xf numFmtId="0" fontId="10" fillId="4" borderId="22" xfId="0" applyFont="1" applyFill="1" applyBorder="1" applyAlignment="1">
      <alignment horizontal="left" vertical="center"/>
    </xf>
    <xf numFmtId="0" fontId="10" fillId="4" borderId="23" xfId="0" applyFont="1" applyFill="1" applyBorder="1" applyAlignment="1">
      <alignment horizontal="left" vertical="center"/>
    </xf>
    <xf numFmtId="0" fontId="10" fillId="4" borderId="0" xfId="0" applyFont="1" applyFill="1" applyAlignment="1">
      <alignment horizontal="left" vertical="center"/>
    </xf>
    <xf numFmtId="0" fontId="10" fillId="4" borderId="24" xfId="0" applyFont="1" applyFill="1" applyBorder="1" applyAlignment="1">
      <alignment horizontal="left" vertical="center"/>
    </xf>
    <xf numFmtId="0" fontId="10" fillId="4" borderId="25" xfId="0" applyFont="1" applyFill="1" applyBorder="1" applyAlignment="1">
      <alignment horizontal="left" vertical="center"/>
    </xf>
    <xf numFmtId="0" fontId="10" fillId="4" borderId="28" xfId="0" applyFont="1" applyFill="1" applyBorder="1" applyAlignment="1">
      <alignment horizontal="left" vertical="center"/>
    </xf>
    <xf numFmtId="0" fontId="10" fillId="4" borderId="26" xfId="0" applyFont="1" applyFill="1" applyBorder="1" applyAlignment="1">
      <alignment horizontal="left" vertical="center"/>
    </xf>
    <xf numFmtId="0" fontId="10" fillId="4" borderId="27" xfId="0" applyFont="1" applyFill="1" applyBorder="1" applyAlignment="1">
      <alignment horizontal="left" vertical="center" wrapText="1"/>
    </xf>
    <xf numFmtId="0" fontId="10" fillId="4" borderId="22" xfId="0" applyFont="1" applyFill="1" applyBorder="1" applyAlignment="1">
      <alignment horizontal="left" vertical="center" wrapText="1"/>
    </xf>
    <xf numFmtId="0" fontId="10" fillId="4" borderId="23" xfId="0" applyFont="1" applyFill="1" applyBorder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10" fillId="4" borderId="24" xfId="0" applyFont="1" applyFill="1" applyBorder="1" applyAlignment="1">
      <alignment horizontal="left" vertical="center" wrapText="1"/>
    </xf>
    <xf numFmtId="0" fontId="10" fillId="4" borderId="25" xfId="0" applyFont="1" applyFill="1" applyBorder="1" applyAlignment="1">
      <alignment horizontal="left" vertical="center" wrapText="1"/>
    </xf>
    <xf numFmtId="0" fontId="10" fillId="4" borderId="28" xfId="0" applyFont="1" applyFill="1" applyBorder="1" applyAlignment="1">
      <alignment horizontal="left" vertical="center" wrapText="1"/>
    </xf>
    <xf numFmtId="0" fontId="10" fillId="4" borderId="26" xfId="0" applyFont="1" applyFill="1" applyBorder="1" applyAlignment="1">
      <alignment horizontal="left" vertical="center" wrapText="1"/>
    </xf>
    <xf numFmtId="0" fontId="14" fillId="0" borderId="31" xfId="0" applyFont="1" applyBorder="1" applyAlignment="1">
      <alignment horizontal="left" vertical="center"/>
    </xf>
    <xf numFmtId="0" fontId="14" fillId="0" borderId="30" xfId="0" applyFont="1" applyBorder="1" applyAlignment="1">
      <alignment horizontal="left" vertical="center"/>
    </xf>
    <xf numFmtId="0" fontId="30" fillId="6" borderId="29" xfId="0" applyFont="1" applyFill="1" applyBorder="1" applyAlignment="1">
      <alignment horizontal="center" vertical="center"/>
    </xf>
    <xf numFmtId="0" fontId="30" fillId="6" borderId="31" xfId="0" applyFont="1" applyFill="1" applyBorder="1" applyAlignment="1">
      <alignment horizontal="center" vertical="center"/>
    </xf>
    <xf numFmtId="0" fontId="10" fillId="5" borderId="29" xfId="0" applyFont="1" applyFill="1" applyBorder="1" applyAlignment="1">
      <alignment horizontal="center" vertical="center"/>
    </xf>
    <xf numFmtId="0" fontId="10" fillId="5" borderId="31" xfId="0" applyFont="1" applyFill="1" applyBorder="1" applyAlignment="1">
      <alignment horizontal="center" vertical="center"/>
    </xf>
    <xf numFmtId="0" fontId="10" fillId="5" borderId="30" xfId="0" applyFont="1" applyFill="1" applyBorder="1" applyAlignment="1">
      <alignment horizontal="center" vertical="center"/>
    </xf>
    <xf numFmtId="176" fontId="10" fillId="5" borderId="31" xfId="0" applyNumberFormat="1" applyFont="1" applyFill="1" applyBorder="1" applyAlignment="1">
      <alignment horizontal="center" vertical="center"/>
    </xf>
  </cellXfs>
  <cellStyles count="6">
    <cellStyle name="쉼표 [0]" xfId="1" builtinId="6"/>
    <cellStyle name="쉼표 [0] 2" xfId="2" xr:uid="{00000000-0005-0000-0000-000001000000}"/>
    <cellStyle name="표준" xfId="0" builtinId="0"/>
    <cellStyle name="표준 2" xfId="3" xr:uid="{00000000-0005-0000-0000-000003000000}"/>
    <cellStyle name="하이퍼링크" xfId="5" builtinId="8"/>
    <cellStyle name="하이퍼링크 2" xfId="4" xr:uid="{00000000-0005-0000-0000-000004000000}"/>
  </cellStyles>
  <dxfs count="0"/>
  <tableStyles count="1" defaultTableStyle="TableStyleMedium9" defaultPivotStyle="PivotStyleLight16">
    <tableStyle name="Invisible" pivot="0" table="0" count="0" xr9:uid="{7A366BD6-9E6D-4221-9139-22E217E61265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EAEAE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jpe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388144</xdr:colOff>
      <xdr:row>5</xdr:row>
      <xdr:rowOff>29196</xdr:rowOff>
    </xdr:from>
    <xdr:to>
      <xdr:col>24</xdr:col>
      <xdr:colOff>269895</xdr:colOff>
      <xdr:row>7</xdr:row>
      <xdr:rowOff>169956</xdr:rowOff>
    </xdr:to>
    <xdr:pic>
      <xdr:nvPicPr>
        <xdr:cNvPr id="1617" name="그림 2" descr="도장.jpg">
          <a:extLst>
            <a:ext uri="{FF2B5EF4-FFF2-40B4-BE49-F238E27FC236}">
              <a16:creationId xmlns:a16="http://schemas.microsoft.com/office/drawing/2014/main" id="{00000000-0008-0000-0000-0000510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E9E8EE"/>
            </a:clrFrom>
            <a:clrTo>
              <a:srgbClr val="E9E8E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70762" y="1541990"/>
          <a:ext cx="610133" cy="63381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23</xdr:col>
      <xdr:colOff>328246</xdr:colOff>
      <xdr:row>0</xdr:row>
      <xdr:rowOff>98363</xdr:rowOff>
    </xdr:from>
    <xdr:to>
      <xdr:col>24</xdr:col>
      <xdr:colOff>565891</xdr:colOff>
      <xdr:row>2</xdr:row>
      <xdr:rowOff>194860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01481" y="98363"/>
          <a:ext cx="966027" cy="970556"/>
        </a:xfrm>
        <a:prstGeom prst="rect">
          <a:avLst/>
        </a:prstGeom>
      </xdr:spPr>
    </xdr:pic>
    <xdr:clientData/>
  </xdr:twoCellAnchor>
  <xdr:twoCellAnchor editAs="oneCell">
    <xdr:from>
      <xdr:col>9</xdr:col>
      <xdr:colOff>358592</xdr:colOff>
      <xdr:row>52</xdr:row>
      <xdr:rowOff>56032</xdr:rowOff>
    </xdr:from>
    <xdr:to>
      <xdr:col>17</xdr:col>
      <xdr:colOff>22417</xdr:colOff>
      <xdr:row>55</xdr:row>
      <xdr:rowOff>213182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B2CD692C-18BF-44C6-B818-C8FBCAD6D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69445" y="13256561"/>
          <a:ext cx="3160060" cy="683826"/>
        </a:xfrm>
        <a:prstGeom prst="rect">
          <a:avLst/>
        </a:prstGeom>
      </xdr:spPr>
    </xdr:pic>
    <xdr:clientData/>
  </xdr:twoCellAnchor>
  <xdr:twoCellAnchor editAs="oneCell">
    <xdr:from>
      <xdr:col>19</xdr:col>
      <xdr:colOff>369795</xdr:colOff>
      <xdr:row>3</xdr:row>
      <xdr:rowOff>89647</xdr:rowOff>
    </xdr:from>
    <xdr:to>
      <xdr:col>25</xdr:col>
      <xdr:colOff>12978</xdr:colOff>
      <xdr:row>5</xdr:row>
      <xdr:rowOff>79201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18DB5A9A-2A68-79C8-5970-E325922A9D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426824" y="1165412"/>
          <a:ext cx="2859272" cy="4938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eoljk81@nav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 fitToPage="1"/>
  </sheetPr>
  <dimension ref="A1:AN53"/>
  <sheetViews>
    <sheetView showGridLines="0" showZeros="0" tabSelected="1" view="pageBreakPreview" zoomScale="90" zoomScaleNormal="85" zoomScaleSheetLayoutView="90" workbookViewId="0">
      <selection activeCell="D10" sqref="D10"/>
    </sheetView>
  </sheetViews>
  <sheetFormatPr defaultRowHeight="18" customHeight="1"/>
  <cols>
    <col min="1" max="15" width="5.375" style="7" customWidth="1"/>
    <col min="16" max="17" width="6.625" style="7" customWidth="1"/>
    <col min="18" max="21" width="5.375" style="7" customWidth="1"/>
    <col min="22" max="23" width="6.625" style="7" customWidth="1"/>
    <col min="24" max="24" width="9.625" style="7" customWidth="1"/>
    <col min="25" max="25" width="8.5" style="7" customWidth="1"/>
    <col min="26" max="27" width="9" style="7"/>
    <col min="28" max="28" width="9" style="72"/>
    <col min="29" max="29" width="29.25" style="72" bestFit="1" customWidth="1"/>
    <col min="30" max="30" width="8.125" style="72" bestFit="1" customWidth="1"/>
    <col min="31" max="31" width="9" style="72"/>
    <col min="32" max="16384" width="9" style="7"/>
  </cols>
  <sheetData>
    <row r="1" spans="1:40" s="1" customFormat="1" ht="54">
      <c r="A1" s="89" t="s">
        <v>127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AB1" s="2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spans="1:40" s="1" customFormat="1" ht="15.95" customHeight="1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AB2" s="2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40" s="1" customFormat="1" ht="26.25">
      <c r="A3" s="90" t="s">
        <v>132</v>
      </c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AB3" s="2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</row>
    <row r="4" spans="1:40" s="1" customFormat="1" ht="21.95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AB4" s="2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</row>
    <row r="5" spans="1:40" s="1" customFormat="1" ht="18" customHeight="1" thickBot="1">
      <c r="A5" s="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AB5" s="2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 s="1" customFormat="1" ht="20.100000000000001" customHeight="1">
      <c r="A6" s="8" t="s">
        <v>93</v>
      </c>
      <c r="B6" s="8"/>
      <c r="C6" s="91">
        <f ca="1">TODAY()</f>
        <v>46150</v>
      </c>
      <c r="D6" s="91"/>
      <c r="E6" s="91"/>
      <c r="F6" s="91"/>
      <c r="G6" s="8"/>
      <c r="H6" s="8"/>
      <c r="I6" s="8"/>
      <c r="J6" s="9"/>
      <c r="K6" s="114" t="s">
        <v>1</v>
      </c>
      <c r="L6" s="107" t="s">
        <v>2</v>
      </c>
      <c r="M6" s="108"/>
      <c r="N6" s="109"/>
      <c r="O6" s="101" t="s">
        <v>18</v>
      </c>
      <c r="P6" s="102"/>
      <c r="Q6" s="102"/>
      <c r="R6" s="102"/>
      <c r="S6" s="102"/>
      <c r="T6" s="102"/>
      <c r="U6" s="102"/>
      <c r="V6" s="102"/>
      <c r="W6" s="102"/>
      <c r="X6" s="102"/>
      <c r="Y6" s="103"/>
      <c r="AB6" s="2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</row>
    <row r="7" spans="1:40" s="1" customFormat="1" ht="20.100000000000001" customHeight="1">
      <c r="A7" s="10" t="s">
        <v>94</v>
      </c>
      <c r="B7" s="8"/>
      <c r="C7" s="8" t="s">
        <v>122</v>
      </c>
      <c r="D7" s="8"/>
      <c r="E7" s="8"/>
      <c r="F7" s="8"/>
      <c r="G7" s="8"/>
      <c r="H7" s="8"/>
      <c r="I7" s="8"/>
      <c r="J7" s="9"/>
      <c r="K7" s="115"/>
      <c r="L7" s="93" t="s">
        <v>22</v>
      </c>
      <c r="M7" s="94"/>
      <c r="N7" s="95"/>
      <c r="O7" s="104" t="s">
        <v>17</v>
      </c>
      <c r="P7" s="105"/>
      <c r="Q7" s="105"/>
      <c r="R7" s="105"/>
      <c r="S7" s="113" t="s">
        <v>25</v>
      </c>
      <c r="T7" s="94"/>
      <c r="U7" s="95"/>
      <c r="V7" s="104" t="s">
        <v>20</v>
      </c>
      <c r="W7" s="105"/>
      <c r="X7" s="105"/>
      <c r="Y7" s="106"/>
      <c r="AB7" s="2"/>
      <c r="AC7" s="2"/>
      <c r="AD7" s="2"/>
      <c r="AE7" s="2"/>
    </row>
    <row r="8" spans="1:40" s="1" customFormat="1" ht="20.100000000000001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15"/>
      <c r="L8" s="93" t="s">
        <v>21</v>
      </c>
      <c r="M8" s="94"/>
      <c r="N8" s="95"/>
      <c r="O8" s="104" t="s">
        <v>126</v>
      </c>
      <c r="P8" s="105"/>
      <c r="Q8" s="105"/>
      <c r="R8" s="105"/>
      <c r="S8" s="105"/>
      <c r="T8" s="105"/>
      <c r="U8" s="105"/>
      <c r="V8" s="105"/>
      <c r="W8" s="105"/>
      <c r="X8" s="105"/>
      <c r="Y8" s="106"/>
      <c r="AA8" s="2"/>
      <c r="AB8" s="2"/>
      <c r="AC8" s="2"/>
      <c r="AD8" s="2"/>
      <c r="AE8" s="2"/>
    </row>
    <row r="9" spans="1:40" s="1" customFormat="1" ht="20.100000000000001" customHeight="1">
      <c r="A9" s="8" t="s">
        <v>7</v>
      </c>
      <c r="B9" s="10"/>
      <c r="C9" s="10"/>
      <c r="D9" s="10"/>
      <c r="E9" s="10"/>
      <c r="F9" s="10"/>
      <c r="G9" s="10"/>
      <c r="H9" s="10"/>
      <c r="I9" s="8"/>
      <c r="J9" s="10"/>
      <c r="K9" s="115"/>
      <c r="L9" s="93" t="s">
        <v>23</v>
      </c>
      <c r="M9" s="94"/>
      <c r="N9" s="95"/>
      <c r="O9" s="104" t="s">
        <v>9</v>
      </c>
      <c r="P9" s="105"/>
      <c r="Q9" s="105"/>
      <c r="R9" s="105"/>
      <c r="S9" s="120" t="s">
        <v>26</v>
      </c>
      <c r="T9" s="94"/>
      <c r="U9" s="95"/>
      <c r="V9" s="126" t="s">
        <v>31</v>
      </c>
      <c r="W9" s="127"/>
      <c r="X9" s="127"/>
      <c r="Y9" s="128"/>
      <c r="AB9" s="2"/>
      <c r="AC9" s="2"/>
      <c r="AD9" s="2"/>
      <c r="AE9" s="2"/>
    </row>
    <row r="10" spans="1:40" s="1" customFormat="1" ht="20.100000000000001" customHeight="1" thickBot="1">
      <c r="A10" s="8" t="s">
        <v>8</v>
      </c>
      <c r="B10" s="10"/>
      <c r="C10" s="10"/>
      <c r="D10" s="10"/>
      <c r="E10" s="10"/>
      <c r="F10" s="10"/>
      <c r="G10" s="10"/>
      <c r="H10" s="10"/>
      <c r="I10" s="8"/>
      <c r="J10" s="9"/>
      <c r="K10" s="116"/>
      <c r="L10" s="98" t="s">
        <v>24</v>
      </c>
      <c r="M10" s="99"/>
      <c r="N10" s="100"/>
      <c r="O10" s="124" t="s">
        <v>74</v>
      </c>
      <c r="P10" s="125"/>
      <c r="Q10" s="125"/>
      <c r="R10" s="125"/>
      <c r="S10" s="121" t="s">
        <v>61</v>
      </c>
      <c r="T10" s="122"/>
      <c r="U10" s="123"/>
      <c r="V10" s="124" t="s">
        <v>75</v>
      </c>
      <c r="W10" s="125"/>
      <c r="X10" s="125"/>
      <c r="Y10" s="129"/>
      <c r="AB10" s="2"/>
      <c r="AC10" s="2"/>
      <c r="AD10" s="2"/>
      <c r="AE10" s="2"/>
    </row>
    <row r="11" spans="1:40" s="1" customFormat="1" ht="20.100000000000001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6"/>
      <c r="L11" s="6"/>
      <c r="M11" s="6"/>
      <c r="N11" s="6"/>
      <c r="O11" s="2"/>
      <c r="P11" s="2"/>
      <c r="Q11" s="2"/>
      <c r="R11" s="6"/>
      <c r="S11" s="6"/>
      <c r="T11" s="6"/>
      <c r="U11" s="6"/>
      <c r="V11" s="2"/>
      <c r="W11" s="2"/>
      <c r="X11" s="2"/>
      <c r="Y11" s="2"/>
      <c r="AB11" s="2" t="s">
        <v>84</v>
      </c>
      <c r="AC11" s="2" t="s">
        <v>85</v>
      </c>
      <c r="AD11" s="2"/>
      <c r="AE11" s="2"/>
    </row>
    <row r="12" spans="1:40" s="1" customFormat="1" ht="20.100000000000001" customHeight="1">
      <c r="A12" s="14" t="s">
        <v>95</v>
      </c>
      <c r="B12" s="15"/>
      <c r="C12" s="15"/>
      <c r="D12" s="15"/>
      <c r="E12" s="15"/>
      <c r="F12" s="15"/>
      <c r="G12" s="15"/>
      <c r="H12" s="92"/>
      <c r="I12" s="92"/>
      <c r="J12" s="92"/>
      <c r="K12" s="92"/>
      <c r="L12" s="15"/>
      <c r="M12" s="16"/>
      <c r="N12" s="14" t="s">
        <v>102</v>
      </c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8"/>
      <c r="AB12" s="19" t="s">
        <v>77</v>
      </c>
      <c r="AC12" s="20" t="s">
        <v>86</v>
      </c>
      <c r="AD12" s="20" t="s">
        <v>78</v>
      </c>
      <c r="AE12" s="21" t="s">
        <v>55</v>
      </c>
    </row>
    <row r="13" spans="1:40" s="30" customFormat="1" ht="20.100000000000001" customHeight="1">
      <c r="A13" s="22"/>
      <c r="B13" s="23" t="s">
        <v>68</v>
      </c>
      <c r="C13" s="10" t="s">
        <v>128</v>
      </c>
      <c r="D13" s="24"/>
      <c r="E13" s="10" t="s">
        <v>98</v>
      </c>
      <c r="F13" s="10"/>
      <c r="G13" s="10"/>
      <c r="H13" s="10"/>
      <c r="I13" s="25"/>
      <c r="J13" s="26"/>
      <c r="K13" s="27"/>
      <c r="L13" s="23"/>
      <c r="M13" s="28"/>
      <c r="N13" s="22"/>
      <c r="O13" s="3" t="s">
        <v>68</v>
      </c>
      <c r="P13" s="10" t="s">
        <v>103</v>
      </c>
      <c r="Q13" s="3"/>
      <c r="R13" s="97" t="s">
        <v>117</v>
      </c>
      <c r="S13" s="97"/>
      <c r="T13" s="23" t="s">
        <v>118</v>
      </c>
      <c r="U13" s="10" t="s">
        <v>119</v>
      </c>
      <c r="V13" s="3"/>
      <c r="W13" s="3"/>
      <c r="X13" s="3"/>
      <c r="Y13" s="29"/>
      <c r="AB13" s="31" t="s">
        <v>77</v>
      </c>
      <c r="AC13" s="2" t="s">
        <v>86</v>
      </c>
      <c r="AD13" s="2" t="s">
        <v>79</v>
      </c>
      <c r="AE13" s="32" t="s">
        <v>56</v>
      </c>
    </row>
    <row r="14" spans="1:40" s="30" customFormat="1" ht="20.100000000000001" customHeight="1">
      <c r="A14" s="22"/>
      <c r="B14" s="23" t="s">
        <v>29</v>
      </c>
      <c r="C14" s="10" t="s">
        <v>129</v>
      </c>
      <c r="D14" s="24"/>
      <c r="E14" s="10" t="s">
        <v>100</v>
      </c>
      <c r="F14" s="10"/>
      <c r="G14" s="10"/>
      <c r="H14" s="10"/>
      <c r="I14" s="25"/>
      <c r="J14" s="26"/>
      <c r="K14" s="27"/>
      <c r="L14" s="23"/>
      <c r="M14" s="28"/>
      <c r="N14" s="33"/>
      <c r="O14" s="10" t="s">
        <v>29</v>
      </c>
      <c r="P14" s="10" t="s">
        <v>104</v>
      </c>
      <c r="Q14" s="10"/>
      <c r="R14" s="96" t="s">
        <v>120</v>
      </c>
      <c r="S14" s="96"/>
      <c r="T14" s="23" t="s">
        <v>118</v>
      </c>
      <c r="U14" s="10" t="s">
        <v>119</v>
      </c>
      <c r="V14" s="10"/>
      <c r="W14" s="10"/>
      <c r="X14" s="10"/>
      <c r="Y14" s="34"/>
      <c r="AB14" s="31"/>
      <c r="AC14" s="2"/>
      <c r="AD14" s="2"/>
      <c r="AE14" s="32"/>
    </row>
    <row r="15" spans="1:40" s="1" customFormat="1" ht="20.100000000000001" customHeight="1">
      <c r="A15" s="35"/>
      <c r="B15" s="23" t="s">
        <v>96</v>
      </c>
      <c r="C15" s="36" t="s">
        <v>130</v>
      </c>
      <c r="D15" s="10"/>
      <c r="E15" s="37" t="s">
        <v>101</v>
      </c>
      <c r="F15" s="37"/>
      <c r="G15" s="10"/>
      <c r="H15" s="10"/>
      <c r="I15" s="10"/>
      <c r="J15" s="13"/>
      <c r="K15" s="13"/>
      <c r="L15" s="13"/>
      <c r="M15" s="38"/>
      <c r="N15" s="33"/>
      <c r="O15" s="10" t="s">
        <v>96</v>
      </c>
      <c r="P15" s="10" t="s">
        <v>105</v>
      </c>
      <c r="Q15" s="10"/>
      <c r="R15" s="96" t="s">
        <v>120</v>
      </c>
      <c r="S15" s="96"/>
      <c r="T15" s="23" t="s">
        <v>118</v>
      </c>
      <c r="U15" s="10" t="s">
        <v>119</v>
      </c>
      <c r="V15" s="10"/>
      <c r="W15" s="10"/>
      <c r="X15" s="10"/>
      <c r="Y15" s="34"/>
      <c r="AB15" s="31" t="s">
        <v>77</v>
      </c>
      <c r="AC15" s="2" t="s">
        <v>86</v>
      </c>
      <c r="AD15" s="2" t="s">
        <v>80</v>
      </c>
      <c r="AE15" s="39" t="s">
        <v>55</v>
      </c>
    </row>
    <row r="16" spans="1:40" s="1" customFormat="1" ht="20.100000000000001" customHeight="1">
      <c r="A16" s="35"/>
      <c r="B16" s="23" t="s">
        <v>97</v>
      </c>
      <c r="C16" s="36" t="s">
        <v>131</v>
      </c>
      <c r="D16" s="10"/>
      <c r="E16" s="10" t="s">
        <v>99</v>
      </c>
      <c r="F16" s="37"/>
      <c r="G16" s="10"/>
      <c r="H16" s="10"/>
      <c r="I16" s="10"/>
      <c r="J16" s="13"/>
      <c r="K16" s="13"/>
      <c r="L16" s="13"/>
      <c r="M16" s="38"/>
      <c r="N16" s="33"/>
      <c r="O16" s="10" t="s">
        <v>97</v>
      </c>
      <c r="P16" s="10" t="s">
        <v>106</v>
      </c>
      <c r="Q16" s="10"/>
      <c r="R16" s="96" t="s">
        <v>120</v>
      </c>
      <c r="S16" s="96"/>
      <c r="T16" s="23" t="s">
        <v>118</v>
      </c>
      <c r="U16" s="10" t="s">
        <v>119</v>
      </c>
      <c r="V16" s="10"/>
      <c r="W16" s="10"/>
      <c r="X16" s="10"/>
      <c r="Y16" s="34"/>
      <c r="AB16" s="31"/>
      <c r="AC16" s="2"/>
      <c r="AD16" s="2"/>
      <c r="AE16" s="39"/>
    </row>
    <row r="17" spans="1:34" s="1" customFormat="1" ht="20.100000000000001" customHeight="1" thickBot="1">
      <c r="A17" s="110" t="s">
        <v>76</v>
      </c>
      <c r="B17" s="111"/>
      <c r="C17" s="111"/>
      <c r="D17" s="111"/>
      <c r="E17" s="111"/>
      <c r="F17" s="111"/>
      <c r="G17" s="111"/>
      <c r="H17" s="111"/>
      <c r="I17" s="111"/>
      <c r="J17" s="111"/>
      <c r="K17" s="111"/>
      <c r="L17" s="111"/>
      <c r="M17" s="112"/>
      <c r="N17" s="40"/>
      <c r="O17" s="41" t="s">
        <v>124</v>
      </c>
      <c r="P17" s="41" t="s">
        <v>125</v>
      </c>
      <c r="Q17" s="41"/>
      <c r="R17" s="41"/>
      <c r="S17" s="41"/>
      <c r="T17" s="41"/>
      <c r="U17" s="41"/>
      <c r="V17" s="41"/>
      <c r="W17" s="41"/>
      <c r="X17" s="41"/>
      <c r="Y17" s="42"/>
      <c r="AB17" s="31" t="s">
        <v>77</v>
      </c>
      <c r="AC17" s="2" t="s">
        <v>86</v>
      </c>
      <c r="AD17" s="2" t="s">
        <v>81</v>
      </c>
      <c r="AE17" s="39" t="s">
        <v>57</v>
      </c>
    </row>
    <row r="18" spans="1:34" s="45" customFormat="1" ht="39.950000000000003" customHeight="1">
      <c r="A18" s="130" t="s">
        <v>66</v>
      </c>
      <c r="B18" s="131"/>
      <c r="C18" s="131"/>
      <c r="D18" s="131"/>
      <c r="E18" s="131"/>
      <c r="F18" s="131"/>
      <c r="G18" s="131"/>
      <c r="H18" s="131"/>
      <c r="I18" s="132"/>
      <c r="J18" s="86" t="s">
        <v>0</v>
      </c>
      <c r="K18" s="87"/>
      <c r="L18" s="87"/>
      <c r="M18" s="88">
        <f>U41</f>
        <v>1600000</v>
      </c>
      <c r="N18" s="88"/>
      <c r="O18" s="88"/>
      <c r="P18" s="88"/>
      <c r="Q18" s="88"/>
      <c r="R18" s="43" t="s">
        <v>28</v>
      </c>
      <c r="S18" s="43" t="s">
        <v>54</v>
      </c>
      <c r="T18" s="85">
        <f>U41</f>
        <v>1600000</v>
      </c>
      <c r="U18" s="85"/>
      <c r="V18" s="85"/>
      <c r="W18" s="85"/>
      <c r="X18" s="85"/>
      <c r="Y18" s="44" t="s">
        <v>53</v>
      </c>
      <c r="AB18" s="19" t="s">
        <v>82</v>
      </c>
      <c r="AC18" s="20" t="s">
        <v>86</v>
      </c>
      <c r="AD18" s="20" t="s">
        <v>78</v>
      </c>
      <c r="AE18" s="21" t="s">
        <v>55</v>
      </c>
    </row>
    <row r="19" spans="1:34" s="1" customFormat="1" ht="20.100000000000001" customHeight="1">
      <c r="A19" s="166" t="s">
        <v>16</v>
      </c>
      <c r="B19" s="167"/>
      <c r="C19" s="167"/>
      <c r="D19" s="167"/>
      <c r="E19" s="167"/>
      <c r="F19" s="167"/>
      <c r="G19" s="167"/>
      <c r="H19" s="167"/>
      <c r="I19" s="168"/>
      <c r="J19" s="169" t="s">
        <v>58</v>
      </c>
      <c r="K19" s="170"/>
      <c r="L19" s="170"/>
      <c r="M19" s="170"/>
      <c r="N19" s="171"/>
      <c r="O19" s="172" t="s">
        <v>60</v>
      </c>
      <c r="P19" s="173"/>
      <c r="Q19" s="174"/>
      <c r="R19" s="166" t="s">
        <v>43</v>
      </c>
      <c r="S19" s="167"/>
      <c r="T19" s="167"/>
      <c r="U19" s="167"/>
      <c r="V19" s="168"/>
      <c r="W19" s="166" t="s">
        <v>42</v>
      </c>
      <c r="X19" s="167"/>
      <c r="Y19" s="168"/>
      <c r="AB19" s="31" t="s">
        <v>82</v>
      </c>
      <c r="AC19" s="2" t="s">
        <v>86</v>
      </c>
      <c r="AD19" s="2" t="s">
        <v>79</v>
      </c>
      <c r="AE19" s="32" t="s">
        <v>56</v>
      </c>
    </row>
    <row r="20" spans="1:34" s="1" customFormat="1" ht="20.100000000000001" customHeight="1">
      <c r="A20" s="175"/>
      <c r="B20" s="176"/>
      <c r="C20" s="176"/>
      <c r="D20" s="176"/>
      <c r="E20" s="176"/>
      <c r="F20" s="176"/>
      <c r="G20" s="176"/>
      <c r="H20" s="176"/>
      <c r="I20" s="177"/>
      <c r="J20" s="178" t="s">
        <v>27</v>
      </c>
      <c r="K20" s="179" t="s">
        <v>55</v>
      </c>
      <c r="L20" s="180" t="s">
        <v>56</v>
      </c>
      <c r="M20" s="178" t="s">
        <v>55</v>
      </c>
      <c r="N20" s="181" t="s">
        <v>57</v>
      </c>
      <c r="O20" s="182"/>
      <c r="P20" s="183"/>
      <c r="Q20" s="184"/>
      <c r="R20" s="175"/>
      <c r="S20" s="176"/>
      <c r="T20" s="176"/>
      <c r="U20" s="176"/>
      <c r="V20" s="177"/>
      <c r="W20" s="175"/>
      <c r="X20" s="176"/>
      <c r="Y20" s="177"/>
      <c r="AB20" s="31" t="s">
        <v>82</v>
      </c>
      <c r="AC20" s="2" t="s">
        <v>86</v>
      </c>
      <c r="AD20" s="2" t="s">
        <v>80</v>
      </c>
      <c r="AE20" s="39" t="s">
        <v>55</v>
      </c>
    </row>
    <row r="21" spans="1:34" s="1" customFormat="1" ht="31.5" customHeight="1" thickBot="1">
      <c r="A21" s="229" t="s">
        <v>59</v>
      </c>
      <c r="B21" s="230"/>
      <c r="C21" s="230"/>
      <c r="D21" s="230"/>
      <c r="E21" s="230"/>
      <c r="F21" s="230"/>
      <c r="G21" s="230"/>
      <c r="H21" s="230"/>
      <c r="I21" s="231"/>
      <c r="J21" s="232" t="s">
        <v>33</v>
      </c>
      <c r="K21" s="233"/>
      <c r="L21" s="233"/>
      <c r="M21" s="233"/>
      <c r="N21" s="234"/>
      <c r="O21" s="185" t="s">
        <v>30</v>
      </c>
      <c r="P21" s="186"/>
      <c r="Q21" s="187"/>
      <c r="R21" s="188">
        <f>150000*8</f>
        <v>1200000</v>
      </c>
      <c r="S21" s="189"/>
      <c r="T21" s="189"/>
      <c r="U21" s="189"/>
      <c r="V21" s="190"/>
      <c r="W21" s="143" t="s">
        <v>123</v>
      </c>
      <c r="X21" s="144"/>
      <c r="Y21" s="145"/>
      <c r="AB21" s="46" t="s">
        <v>82</v>
      </c>
      <c r="AC21" s="47" t="s">
        <v>86</v>
      </c>
      <c r="AD21" s="47" t="s">
        <v>81</v>
      </c>
      <c r="AE21" s="48" t="s">
        <v>83</v>
      </c>
    </row>
    <row r="22" spans="1:34" s="1" customFormat="1" ht="31.5" customHeight="1">
      <c r="A22" s="229" t="s">
        <v>45</v>
      </c>
      <c r="B22" s="230"/>
      <c r="C22" s="230"/>
      <c r="D22" s="230"/>
      <c r="E22" s="230"/>
      <c r="F22" s="230"/>
      <c r="G22" s="230"/>
      <c r="H22" s="230"/>
      <c r="I22" s="231"/>
      <c r="J22" s="232"/>
      <c r="K22" s="233"/>
      <c r="L22" s="233"/>
      <c r="M22" s="233"/>
      <c r="N22" s="234"/>
      <c r="O22" s="191" t="s">
        <v>10</v>
      </c>
      <c r="P22" s="192"/>
      <c r="Q22" s="193"/>
      <c r="R22" s="194">
        <v>200000</v>
      </c>
      <c r="S22" s="195"/>
      <c r="T22" s="195"/>
      <c r="U22" s="195"/>
      <c r="V22" s="196"/>
      <c r="W22" s="133"/>
      <c r="X22" s="146"/>
      <c r="Y22" s="147"/>
      <c r="AB22" s="19" t="s">
        <v>77</v>
      </c>
      <c r="AC22" s="20" t="s">
        <v>87</v>
      </c>
      <c r="AD22" s="20" t="s">
        <v>78</v>
      </c>
      <c r="AE22" s="21" t="s">
        <v>55</v>
      </c>
      <c r="AF22" s="133" t="s">
        <v>92</v>
      </c>
      <c r="AG22" s="134"/>
      <c r="AH22" s="135"/>
    </row>
    <row r="23" spans="1:34" s="1" customFormat="1" ht="31.5" customHeight="1">
      <c r="A23" s="49"/>
      <c r="B23" s="252" t="s">
        <v>91</v>
      </c>
      <c r="C23" s="252"/>
      <c r="D23" s="252"/>
      <c r="E23" s="252"/>
      <c r="F23" s="252"/>
      <c r="G23" s="252"/>
      <c r="H23" s="252"/>
      <c r="I23" s="253"/>
      <c r="J23" s="50"/>
      <c r="K23" s="50" t="s">
        <v>40</v>
      </c>
      <c r="L23" s="50" t="s">
        <v>40</v>
      </c>
      <c r="M23" s="50" t="s">
        <v>40</v>
      </c>
      <c r="N23" s="50" t="s">
        <v>40</v>
      </c>
      <c r="O23" s="199"/>
      <c r="P23" s="200"/>
      <c r="Q23" s="201"/>
      <c r="R23" s="202"/>
      <c r="S23" s="203"/>
      <c r="T23" s="203"/>
      <c r="U23" s="203"/>
      <c r="V23" s="204"/>
      <c r="W23" s="148"/>
      <c r="X23" s="149"/>
      <c r="Y23" s="150"/>
      <c r="AB23" s="31" t="s">
        <v>77</v>
      </c>
      <c r="AC23" s="2" t="s">
        <v>87</v>
      </c>
      <c r="AD23" s="2" t="s">
        <v>79</v>
      </c>
      <c r="AE23" s="32" t="s">
        <v>56</v>
      </c>
      <c r="AF23" s="136"/>
      <c r="AG23" s="137"/>
      <c r="AH23" s="138"/>
    </row>
    <row r="24" spans="1:34" s="1" customFormat="1" ht="31.5" customHeight="1">
      <c r="A24" s="49"/>
      <c r="B24" s="197" t="s">
        <v>44</v>
      </c>
      <c r="C24" s="197"/>
      <c r="D24" s="197"/>
      <c r="E24" s="197"/>
      <c r="F24" s="197"/>
      <c r="G24" s="197"/>
      <c r="H24" s="197"/>
      <c r="I24" s="198"/>
      <c r="J24" s="50"/>
      <c r="K24" s="50"/>
      <c r="L24" s="50"/>
      <c r="M24" s="50"/>
      <c r="N24" s="50" t="s">
        <v>40</v>
      </c>
      <c r="O24" s="199"/>
      <c r="P24" s="200"/>
      <c r="Q24" s="201"/>
      <c r="R24" s="202"/>
      <c r="S24" s="203"/>
      <c r="T24" s="203"/>
      <c r="U24" s="203"/>
      <c r="V24" s="204"/>
      <c r="W24" s="148"/>
      <c r="X24" s="149"/>
      <c r="Y24" s="150"/>
      <c r="AB24" s="31" t="s">
        <v>77</v>
      </c>
      <c r="AC24" s="2" t="s">
        <v>87</v>
      </c>
      <c r="AD24" s="2" t="s">
        <v>80</v>
      </c>
      <c r="AE24" s="39" t="s">
        <v>55</v>
      </c>
      <c r="AF24" s="136"/>
      <c r="AG24" s="137"/>
      <c r="AH24" s="138"/>
    </row>
    <row r="25" spans="1:34" s="1" customFormat="1" ht="31.5" customHeight="1" thickBot="1">
      <c r="A25" s="49"/>
      <c r="B25" s="197" t="s">
        <v>3</v>
      </c>
      <c r="C25" s="197"/>
      <c r="D25" s="197"/>
      <c r="E25" s="197"/>
      <c r="F25" s="197"/>
      <c r="G25" s="197"/>
      <c r="H25" s="197"/>
      <c r="I25" s="198"/>
      <c r="J25" s="50"/>
      <c r="K25" s="50"/>
      <c r="L25" s="50" t="s">
        <v>40</v>
      </c>
      <c r="M25" s="50"/>
      <c r="N25" s="50" t="s">
        <v>40</v>
      </c>
      <c r="O25" s="205"/>
      <c r="P25" s="206"/>
      <c r="Q25" s="207"/>
      <c r="R25" s="208"/>
      <c r="S25" s="209"/>
      <c r="T25" s="209"/>
      <c r="U25" s="209"/>
      <c r="V25" s="210"/>
      <c r="W25" s="151"/>
      <c r="X25" s="152"/>
      <c r="Y25" s="153"/>
      <c r="AB25" s="46" t="s">
        <v>77</v>
      </c>
      <c r="AC25" s="47" t="s">
        <v>87</v>
      </c>
      <c r="AD25" s="47" t="s">
        <v>81</v>
      </c>
      <c r="AE25" s="48" t="s">
        <v>57</v>
      </c>
      <c r="AF25" s="139"/>
      <c r="AG25" s="140"/>
      <c r="AH25" s="141"/>
    </row>
    <row r="26" spans="1:34" s="1" customFormat="1" ht="31.5" customHeight="1">
      <c r="A26" s="229" t="s">
        <v>46</v>
      </c>
      <c r="B26" s="230"/>
      <c r="C26" s="230"/>
      <c r="D26" s="230"/>
      <c r="E26" s="230"/>
      <c r="F26" s="230"/>
      <c r="G26" s="230"/>
      <c r="H26" s="230"/>
      <c r="I26" s="231"/>
      <c r="J26" s="51"/>
      <c r="K26" s="52"/>
      <c r="L26" s="52"/>
      <c r="M26" s="52"/>
      <c r="N26" s="53"/>
      <c r="O26" s="191" t="s">
        <v>11</v>
      </c>
      <c r="P26" s="192"/>
      <c r="Q26" s="193"/>
      <c r="R26" s="194">
        <v>200000</v>
      </c>
      <c r="S26" s="195"/>
      <c r="T26" s="195"/>
      <c r="U26" s="195"/>
      <c r="V26" s="196"/>
      <c r="W26" s="133" t="s">
        <v>72</v>
      </c>
      <c r="X26" s="134"/>
      <c r="Y26" s="135"/>
      <c r="AB26" s="19" t="s">
        <v>82</v>
      </c>
      <c r="AC26" s="20" t="s">
        <v>87</v>
      </c>
      <c r="AD26" s="20" t="s">
        <v>78</v>
      </c>
      <c r="AE26" s="21" t="s">
        <v>55</v>
      </c>
    </row>
    <row r="27" spans="1:34" s="1" customFormat="1" ht="31.5" customHeight="1">
      <c r="A27" s="49"/>
      <c r="B27" s="197" t="s">
        <v>73</v>
      </c>
      <c r="C27" s="197"/>
      <c r="D27" s="197"/>
      <c r="E27" s="197"/>
      <c r="F27" s="197"/>
      <c r="G27" s="197"/>
      <c r="H27" s="197"/>
      <c r="I27" s="198"/>
      <c r="J27" s="50"/>
      <c r="K27" s="50"/>
      <c r="L27" s="50"/>
      <c r="M27" s="50"/>
      <c r="N27" s="50" t="s">
        <v>40</v>
      </c>
      <c r="O27" s="199"/>
      <c r="P27" s="200"/>
      <c r="Q27" s="201"/>
      <c r="R27" s="202"/>
      <c r="S27" s="203"/>
      <c r="T27" s="203"/>
      <c r="U27" s="203"/>
      <c r="V27" s="204"/>
      <c r="W27" s="136"/>
      <c r="X27" s="137"/>
      <c r="Y27" s="138"/>
      <c r="AB27" s="31" t="s">
        <v>82</v>
      </c>
      <c r="AC27" s="2" t="s">
        <v>87</v>
      </c>
      <c r="AD27" s="2" t="s">
        <v>79</v>
      </c>
      <c r="AE27" s="32" t="s">
        <v>56</v>
      </c>
    </row>
    <row r="28" spans="1:34" s="1" customFormat="1" ht="31.5" customHeight="1">
      <c r="A28" s="49"/>
      <c r="B28" s="197" t="s">
        <v>3</v>
      </c>
      <c r="C28" s="197"/>
      <c r="D28" s="197"/>
      <c r="E28" s="197"/>
      <c r="F28" s="197"/>
      <c r="G28" s="197"/>
      <c r="H28" s="197"/>
      <c r="I28" s="198"/>
      <c r="J28" s="50"/>
      <c r="K28" s="50"/>
      <c r="L28" s="50"/>
      <c r="M28" s="50"/>
      <c r="N28" s="50" t="s">
        <v>40</v>
      </c>
      <c r="O28" s="199"/>
      <c r="P28" s="200"/>
      <c r="Q28" s="201"/>
      <c r="R28" s="202"/>
      <c r="S28" s="203"/>
      <c r="T28" s="203"/>
      <c r="U28" s="203"/>
      <c r="V28" s="204"/>
      <c r="W28" s="136"/>
      <c r="X28" s="137"/>
      <c r="Y28" s="138"/>
      <c r="AB28" s="31" t="s">
        <v>82</v>
      </c>
      <c r="AC28" s="2" t="s">
        <v>87</v>
      </c>
      <c r="AD28" s="2" t="s">
        <v>80</v>
      </c>
      <c r="AE28" s="39" t="s">
        <v>55</v>
      </c>
    </row>
    <row r="29" spans="1:34" s="1" customFormat="1" ht="31.5" customHeight="1" thickBot="1">
      <c r="A29" s="229" t="s">
        <v>47</v>
      </c>
      <c r="B29" s="230"/>
      <c r="C29" s="230"/>
      <c r="D29" s="230"/>
      <c r="E29" s="230"/>
      <c r="F29" s="230"/>
      <c r="G29" s="230"/>
      <c r="H29" s="230"/>
      <c r="I29" s="231"/>
      <c r="J29" s="51"/>
      <c r="K29" s="52"/>
      <c r="L29" s="52"/>
      <c r="M29" s="52"/>
      <c r="N29" s="53"/>
      <c r="O29" s="191" t="s">
        <v>12</v>
      </c>
      <c r="P29" s="192"/>
      <c r="Q29" s="193"/>
      <c r="R29" s="202"/>
      <c r="S29" s="203"/>
      <c r="T29" s="203"/>
      <c r="U29" s="203"/>
      <c r="V29" s="204"/>
      <c r="W29" s="136"/>
      <c r="X29" s="137"/>
      <c r="Y29" s="138"/>
      <c r="AB29" s="46" t="s">
        <v>82</v>
      </c>
      <c r="AC29" s="47" t="s">
        <v>87</v>
      </c>
      <c r="AD29" s="47" t="s">
        <v>81</v>
      </c>
      <c r="AE29" s="48" t="s">
        <v>83</v>
      </c>
    </row>
    <row r="30" spans="1:34" s="1" customFormat="1" ht="31.5" customHeight="1">
      <c r="A30" s="54"/>
      <c r="B30" s="197" t="s">
        <v>73</v>
      </c>
      <c r="C30" s="197"/>
      <c r="D30" s="197"/>
      <c r="E30" s="197"/>
      <c r="F30" s="197"/>
      <c r="G30" s="197"/>
      <c r="H30" s="197"/>
      <c r="I30" s="198"/>
      <c r="J30" s="55"/>
      <c r="K30" s="55"/>
      <c r="L30" s="55"/>
      <c r="M30" s="55"/>
      <c r="N30" s="50" t="s">
        <v>40</v>
      </c>
      <c r="O30" s="199"/>
      <c r="P30" s="200"/>
      <c r="Q30" s="201"/>
      <c r="R30" s="202"/>
      <c r="S30" s="203"/>
      <c r="T30" s="203"/>
      <c r="U30" s="203"/>
      <c r="V30" s="204"/>
      <c r="W30" s="136"/>
      <c r="X30" s="137"/>
      <c r="Y30" s="138"/>
      <c r="AB30" s="2" t="s">
        <v>88</v>
      </c>
      <c r="AC30" s="2"/>
      <c r="AD30" s="2"/>
      <c r="AE30" s="2"/>
    </row>
    <row r="31" spans="1:34" s="1" customFormat="1" ht="31.5" customHeight="1">
      <c r="A31" s="229" t="s">
        <v>48</v>
      </c>
      <c r="B31" s="230"/>
      <c r="C31" s="230"/>
      <c r="D31" s="230"/>
      <c r="E31" s="230"/>
      <c r="F31" s="230"/>
      <c r="G31" s="230"/>
      <c r="H31" s="230"/>
      <c r="I31" s="231"/>
      <c r="J31" s="51"/>
      <c r="K31" s="52"/>
      <c r="L31" s="52"/>
      <c r="M31" s="52"/>
      <c r="N31" s="53"/>
      <c r="O31" s="211" t="s">
        <v>13</v>
      </c>
      <c r="P31" s="212"/>
      <c r="Q31" s="213"/>
      <c r="R31" s="208"/>
      <c r="S31" s="209"/>
      <c r="T31" s="209"/>
      <c r="U31" s="209"/>
      <c r="V31" s="210"/>
      <c r="W31" s="139"/>
      <c r="X31" s="140"/>
      <c r="Y31" s="141"/>
      <c r="AB31" s="2" t="s">
        <v>89</v>
      </c>
      <c r="AC31" s="2" t="s">
        <v>90</v>
      </c>
      <c r="AD31" s="2"/>
      <c r="AE31" s="2"/>
    </row>
    <row r="32" spans="1:34" s="1" customFormat="1" ht="31.5" customHeight="1">
      <c r="A32" s="235" t="s">
        <v>133</v>
      </c>
      <c r="B32" s="236"/>
      <c r="C32" s="237"/>
      <c r="D32" s="163" t="s">
        <v>4</v>
      </c>
      <c r="E32" s="164"/>
      <c r="F32" s="164"/>
      <c r="G32" s="164"/>
      <c r="H32" s="164"/>
      <c r="I32" s="165"/>
      <c r="J32" s="56"/>
      <c r="K32" s="50"/>
      <c r="L32" s="50"/>
      <c r="M32" s="50"/>
      <c r="N32" s="50" t="s">
        <v>40</v>
      </c>
      <c r="O32" s="191" t="s">
        <v>19</v>
      </c>
      <c r="P32" s="192"/>
      <c r="Q32" s="193"/>
      <c r="R32" s="214">
        <v>200000</v>
      </c>
      <c r="S32" s="215"/>
      <c r="T32" s="215"/>
      <c r="U32" s="215"/>
      <c r="V32" s="216"/>
      <c r="W32" s="142"/>
      <c r="X32" s="134"/>
      <c r="Y32" s="135"/>
      <c r="AB32" s="2"/>
      <c r="AC32" s="2"/>
      <c r="AD32" s="2"/>
      <c r="AE32" s="2"/>
    </row>
    <row r="33" spans="1:31" s="1" customFormat="1" ht="31.5" customHeight="1">
      <c r="A33" s="238"/>
      <c r="B33" s="239"/>
      <c r="C33" s="240"/>
      <c r="D33" s="163" t="s">
        <v>5</v>
      </c>
      <c r="E33" s="164"/>
      <c r="F33" s="164"/>
      <c r="G33" s="164"/>
      <c r="H33" s="164"/>
      <c r="I33" s="165"/>
      <c r="J33" s="56"/>
      <c r="K33" s="50"/>
      <c r="L33" s="50"/>
      <c r="M33" s="50"/>
      <c r="N33" s="50" t="s">
        <v>40</v>
      </c>
      <c r="O33" s="199"/>
      <c r="P33" s="200"/>
      <c r="Q33" s="201"/>
      <c r="R33" s="217"/>
      <c r="S33" s="218"/>
      <c r="T33" s="218"/>
      <c r="U33" s="218"/>
      <c r="V33" s="219"/>
      <c r="W33" s="136"/>
      <c r="X33" s="137"/>
      <c r="Y33" s="138"/>
      <c r="AB33" s="2"/>
      <c r="AC33" s="2"/>
      <c r="AD33" s="2"/>
      <c r="AE33" s="2"/>
    </row>
    <row r="34" spans="1:31" s="1" customFormat="1" ht="31.5" customHeight="1">
      <c r="A34" s="241"/>
      <c r="B34" s="242"/>
      <c r="C34" s="243"/>
      <c r="D34" s="163" t="s">
        <v>6</v>
      </c>
      <c r="E34" s="164"/>
      <c r="F34" s="164"/>
      <c r="G34" s="164"/>
      <c r="H34" s="164"/>
      <c r="I34" s="165"/>
      <c r="J34" s="56"/>
      <c r="K34" s="50" t="s">
        <v>40</v>
      </c>
      <c r="L34" s="50" t="s">
        <v>40</v>
      </c>
      <c r="M34" s="50" t="s">
        <v>40</v>
      </c>
      <c r="N34" s="50" t="s">
        <v>40</v>
      </c>
      <c r="O34" s="205"/>
      <c r="P34" s="206"/>
      <c r="Q34" s="207"/>
      <c r="R34" s="220"/>
      <c r="S34" s="221"/>
      <c r="T34" s="221"/>
      <c r="U34" s="221"/>
      <c r="V34" s="222"/>
      <c r="W34" s="139"/>
      <c r="X34" s="140"/>
      <c r="Y34" s="141"/>
      <c r="AB34" s="2"/>
      <c r="AC34" s="2"/>
      <c r="AD34" s="2"/>
      <c r="AE34" s="2"/>
    </row>
    <row r="35" spans="1:31" s="1" customFormat="1" ht="31.5" customHeight="1">
      <c r="A35" s="229" t="s">
        <v>49</v>
      </c>
      <c r="B35" s="230"/>
      <c r="C35" s="230"/>
      <c r="D35" s="230"/>
      <c r="E35" s="230"/>
      <c r="F35" s="230"/>
      <c r="G35" s="230"/>
      <c r="H35" s="230"/>
      <c r="I35" s="231"/>
      <c r="J35" s="50"/>
      <c r="K35" s="50" t="s">
        <v>40</v>
      </c>
      <c r="L35" s="50" t="s">
        <v>40</v>
      </c>
      <c r="M35" s="50" t="s">
        <v>40</v>
      </c>
      <c r="N35" s="50" t="s">
        <v>40</v>
      </c>
      <c r="O35" s="211" t="s">
        <v>41</v>
      </c>
      <c r="P35" s="212"/>
      <c r="Q35" s="213"/>
      <c r="R35" s="223">
        <v>600000</v>
      </c>
      <c r="S35" s="224"/>
      <c r="T35" s="224"/>
      <c r="U35" s="224"/>
      <c r="V35" s="225"/>
      <c r="W35" s="143"/>
      <c r="X35" s="144"/>
      <c r="Y35" s="145"/>
      <c r="AB35" s="2"/>
      <c r="AC35" s="2"/>
      <c r="AD35" s="2"/>
      <c r="AE35" s="2"/>
    </row>
    <row r="36" spans="1:31" s="1" customFormat="1" ht="31.5" customHeight="1">
      <c r="A36" s="229" t="s">
        <v>50</v>
      </c>
      <c r="B36" s="230"/>
      <c r="C36" s="230"/>
      <c r="D36" s="230"/>
      <c r="E36" s="230"/>
      <c r="F36" s="230"/>
      <c r="G36" s="230"/>
      <c r="H36" s="230"/>
      <c r="I36" s="231"/>
      <c r="J36" s="50"/>
      <c r="K36" s="50"/>
      <c r="L36" s="50"/>
      <c r="M36" s="50"/>
      <c r="N36" s="50" t="s">
        <v>40</v>
      </c>
      <c r="O36" s="211" t="s">
        <v>14</v>
      </c>
      <c r="P36" s="212"/>
      <c r="Q36" s="213"/>
      <c r="R36" s="223">
        <v>300000</v>
      </c>
      <c r="S36" s="224"/>
      <c r="T36" s="224"/>
      <c r="U36" s="224"/>
      <c r="V36" s="225"/>
      <c r="W36" s="143"/>
      <c r="X36" s="144"/>
      <c r="Y36" s="145"/>
      <c r="AB36" s="2"/>
      <c r="AC36" s="2"/>
      <c r="AD36" s="2"/>
      <c r="AE36" s="2"/>
    </row>
    <row r="37" spans="1:31" s="1" customFormat="1" ht="31.5" customHeight="1">
      <c r="A37" s="229" t="s">
        <v>51</v>
      </c>
      <c r="B37" s="230"/>
      <c r="C37" s="230"/>
      <c r="D37" s="230"/>
      <c r="E37" s="230"/>
      <c r="F37" s="230"/>
      <c r="G37" s="230"/>
      <c r="H37" s="230"/>
      <c r="I37" s="231"/>
      <c r="J37" s="56"/>
      <c r="K37" s="50" t="s">
        <v>40</v>
      </c>
      <c r="L37" s="50" t="s">
        <v>40</v>
      </c>
      <c r="M37" s="50" t="s">
        <v>40</v>
      </c>
      <c r="N37" s="50" t="s">
        <v>40</v>
      </c>
      <c r="O37" s="185"/>
      <c r="P37" s="186"/>
      <c r="Q37" s="187"/>
      <c r="R37" s="223">
        <v>100000</v>
      </c>
      <c r="S37" s="224"/>
      <c r="T37" s="224"/>
      <c r="U37" s="224"/>
      <c r="V37" s="225"/>
      <c r="W37" s="143"/>
      <c r="X37" s="144"/>
      <c r="Y37" s="145"/>
      <c r="AB37" s="2"/>
      <c r="AC37" s="2"/>
      <c r="AD37" s="2"/>
      <c r="AE37" s="2"/>
    </row>
    <row r="38" spans="1:31" s="1" customFormat="1" ht="31.5" customHeight="1">
      <c r="A38" s="235" t="s">
        <v>134</v>
      </c>
      <c r="B38" s="244"/>
      <c r="C38" s="245"/>
      <c r="D38" s="163" t="s">
        <v>69</v>
      </c>
      <c r="E38" s="164"/>
      <c r="F38" s="164"/>
      <c r="G38" s="164"/>
      <c r="H38" s="164"/>
      <c r="I38" s="165"/>
      <c r="J38" s="56"/>
      <c r="K38" s="50"/>
      <c r="L38" s="50"/>
      <c r="M38" s="50"/>
      <c r="N38" s="50" t="s">
        <v>40</v>
      </c>
      <c r="O38" s="191" t="s">
        <v>15</v>
      </c>
      <c r="P38" s="192"/>
      <c r="Q38" s="193"/>
      <c r="R38" s="226"/>
      <c r="S38" s="226"/>
      <c r="T38" s="226"/>
      <c r="U38" s="226"/>
      <c r="V38" s="226"/>
      <c r="W38" s="154"/>
      <c r="X38" s="155"/>
      <c r="Y38" s="156"/>
      <c r="AB38" s="2"/>
      <c r="AC38" s="2"/>
      <c r="AD38" s="2"/>
      <c r="AE38" s="2"/>
    </row>
    <row r="39" spans="1:31" s="1" customFormat="1" ht="31.5" customHeight="1">
      <c r="A39" s="246"/>
      <c r="B39" s="247"/>
      <c r="C39" s="248"/>
      <c r="D39" s="163" t="s">
        <v>70</v>
      </c>
      <c r="E39" s="164"/>
      <c r="F39" s="164"/>
      <c r="G39" s="164"/>
      <c r="H39" s="164"/>
      <c r="I39" s="165"/>
      <c r="J39" s="56"/>
      <c r="K39" s="50"/>
      <c r="L39" s="50"/>
      <c r="M39" s="50"/>
      <c r="N39" s="50"/>
      <c r="O39" s="199"/>
      <c r="P39" s="200"/>
      <c r="Q39" s="201"/>
      <c r="R39" s="227"/>
      <c r="S39" s="227"/>
      <c r="T39" s="227"/>
      <c r="U39" s="227"/>
      <c r="V39" s="227"/>
      <c r="W39" s="157"/>
      <c r="X39" s="158"/>
      <c r="Y39" s="159"/>
      <c r="AB39" s="2"/>
      <c r="AC39" s="2"/>
      <c r="AD39" s="2"/>
      <c r="AE39" s="2"/>
    </row>
    <row r="40" spans="1:31" s="1" customFormat="1" ht="31.5" customHeight="1">
      <c r="A40" s="249"/>
      <c r="B40" s="250"/>
      <c r="C40" s="251"/>
      <c r="D40" s="163" t="s">
        <v>3</v>
      </c>
      <c r="E40" s="164"/>
      <c r="F40" s="164"/>
      <c r="G40" s="164"/>
      <c r="H40" s="164"/>
      <c r="I40" s="165"/>
      <c r="J40" s="56"/>
      <c r="K40" s="50"/>
      <c r="L40" s="50"/>
      <c r="M40" s="50"/>
      <c r="N40" s="50" t="s">
        <v>40</v>
      </c>
      <c r="O40" s="205"/>
      <c r="P40" s="206"/>
      <c r="Q40" s="207"/>
      <c r="R40" s="228"/>
      <c r="S40" s="228"/>
      <c r="T40" s="228"/>
      <c r="U40" s="228"/>
      <c r="V40" s="228"/>
      <c r="W40" s="160"/>
      <c r="X40" s="161"/>
      <c r="Y40" s="162"/>
      <c r="AB40" s="2"/>
      <c r="AC40" s="2"/>
      <c r="AD40" s="2"/>
      <c r="AE40" s="2"/>
    </row>
    <row r="41" spans="1:31" s="1" customFormat="1" ht="30" customHeight="1">
      <c r="A41" s="254" t="s">
        <v>39</v>
      </c>
      <c r="B41" s="255"/>
      <c r="C41" s="255"/>
      <c r="D41" s="255"/>
      <c r="E41" s="255"/>
      <c r="F41" s="255"/>
      <c r="G41" s="255"/>
      <c r="H41" s="255"/>
      <c r="I41" s="255"/>
      <c r="J41" s="255"/>
      <c r="K41" s="255"/>
      <c r="L41" s="255"/>
      <c r="M41" s="255"/>
      <c r="N41" s="256" t="s">
        <v>52</v>
      </c>
      <c r="O41" s="257"/>
      <c r="P41" s="257"/>
      <c r="Q41" s="257"/>
      <c r="R41" s="257"/>
      <c r="S41" s="257"/>
      <c r="T41" s="258"/>
      <c r="U41" s="259">
        <f>SUM(R22:V40)</f>
        <v>1600000</v>
      </c>
      <c r="V41" s="257"/>
      <c r="W41" s="257"/>
      <c r="X41" s="257"/>
      <c r="Y41" s="258"/>
      <c r="AB41" s="2"/>
      <c r="AC41" s="2"/>
      <c r="AD41" s="2"/>
      <c r="AE41" s="2"/>
    </row>
    <row r="42" spans="1:31" s="13" customFormat="1" ht="20.100000000000001" customHeight="1">
      <c r="A42" s="77" t="s">
        <v>34</v>
      </c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9"/>
      <c r="M42" s="57" t="s">
        <v>35</v>
      </c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9"/>
      <c r="AB42" s="60"/>
      <c r="AC42" s="60"/>
      <c r="AD42" s="60"/>
      <c r="AE42" s="60"/>
    </row>
    <row r="43" spans="1:31" s="13" customFormat="1" ht="20.100000000000001" customHeight="1">
      <c r="A43" s="80" t="s">
        <v>36</v>
      </c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6"/>
      <c r="M43" s="61" t="s">
        <v>62</v>
      </c>
      <c r="Y43" s="38"/>
      <c r="AB43" s="60"/>
      <c r="AC43" s="60"/>
      <c r="AD43" s="60"/>
      <c r="AE43" s="60"/>
    </row>
    <row r="44" spans="1:31" s="13" customFormat="1" ht="20.100000000000001" customHeight="1">
      <c r="A44" s="80" t="s">
        <v>37</v>
      </c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6"/>
      <c r="M44" s="62" t="s">
        <v>115</v>
      </c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4"/>
      <c r="AB44" s="60"/>
      <c r="AC44" s="60"/>
      <c r="AD44" s="60"/>
      <c r="AE44" s="60"/>
    </row>
    <row r="45" spans="1:31" s="13" customFormat="1" ht="20.100000000000001" customHeight="1">
      <c r="A45" s="80" t="s">
        <v>32</v>
      </c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6"/>
      <c r="M45" s="65" t="s">
        <v>114</v>
      </c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7"/>
      <c r="AB45" s="60"/>
      <c r="AC45" s="60"/>
      <c r="AD45" s="60"/>
      <c r="AE45" s="60"/>
    </row>
    <row r="46" spans="1:31" s="13" customFormat="1" ht="20.100000000000001" customHeight="1">
      <c r="A46" s="68" t="s">
        <v>38</v>
      </c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1" t="s">
        <v>63</v>
      </c>
      <c r="Y46" s="38"/>
      <c r="AB46" s="60"/>
      <c r="AC46" s="60"/>
      <c r="AD46" s="60"/>
      <c r="AE46" s="60"/>
    </row>
    <row r="47" spans="1:31" s="13" customFormat="1" ht="20.100000000000001" customHeight="1">
      <c r="A47" s="70" t="s">
        <v>108</v>
      </c>
      <c r="D47" s="75" t="s">
        <v>111</v>
      </c>
      <c r="E47" s="75"/>
      <c r="F47" s="75"/>
      <c r="G47" s="75"/>
      <c r="H47" s="75"/>
      <c r="I47" s="75"/>
      <c r="J47" s="75"/>
      <c r="K47" s="75"/>
      <c r="L47" s="76"/>
      <c r="M47" s="61" t="s">
        <v>71</v>
      </c>
      <c r="Y47" s="38"/>
      <c r="AB47" s="60"/>
      <c r="AC47" s="60"/>
      <c r="AD47" s="60"/>
      <c r="AE47" s="60"/>
    </row>
    <row r="48" spans="1:31" s="13" customFormat="1" ht="20.100000000000001" customHeight="1">
      <c r="A48" s="70" t="s">
        <v>107</v>
      </c>
      <c r="D48" s="75" t="s">
        <v>75</v>
      </c>
      <c r="E48" s="75"/>
      <c r="F48" s="75"/>
      <c r="G48" s="75"/>
      <c r="H48" s="75"/>
      <c r="I48" s="75"/>
      <c r="J48" s="75"/>
      <c r="K48" s="75"/>
      <c r="L48" s="76"/>
      <c r="M48" s="61" t="s">
        <v>64</v>
      </c>
      <c r="Y48" s="38"/>
      <c r="AB48" s="60"/>
      <c r="AC48" s="60"/>
      <c r="AD48" s="60"/>
      <c r="AE48" s="60"/>
    </row>
    <row r="49" spans="1:31" s="13" customFormat="1" ht="20.100000000000001" customHeight="1">
      <c r="A49" s="70" t="s">
        <v>109</v>
      </c>
      <c r="D49" s="73" t="s">
        <v>112</v>
      </c>
      <c r="E49" s="73"/>
      <c r="F49" s="73"/>
      <c r="G49" s="73"/>
      <c r="H49" s="73"/>
      <c r="I49" s="73"/>
      <c r="J49" s="73"/>
      <c r="K49" s="73"/>
      <c r="L49" s="74"/>
      <c r="M49" s="61" t="s">
        <v>65</v>
      </c>
      <c r="Y49" s="38"/>
      <c r="AB49" s="60"/>
      <c r="AC49" s="60"/>
      <c r="AD49" s="60"/>
      <c r="AE49" s="60"/>
    </row>
    <row r="50" spans="1:31" s="13" customFormat="1" ht="20.100000000000001" customHeight="1">
      <c r="A50" s="70" t="s">
        <v>110</v>
      </c>
      <c r="D50" s="81" t="s">
        <v>113</v>
      </c>
      <c r="E50" s="81"/>
      <c r="F50" s="81"/>
      <c r="G50" s="81"/>
      <c r="H50" s="81"/>
      <c r="I50" s="81"/>
      <c r="J50" s="81"/>
      <c r="K50" s="81"/>
      <c r="L50" s="82"/>
      <c r="M50" s="61" t="s">
        <v>116</v>
      </c>
      <c r="Y50" s="38"/>
      <c r="AB50" s="60"/>
      <c r="AC50" s="60"/>
      <c r="AD50" s="60"/>
      <c r="AE50" s="60"/>
    </row>
    <row r="51" spans="1:31" s="13" customFormat="1" ht="20.100000000000001" customHeight="1">
      <c r="A51" s="70"/>
      <c r="D51" s="83"/>
      <c r="E51" s="83"/>
      <c r="F51" s="83"/>
      <c r="G51" s="83"/>
      <c r="H51" s="83"/>
      <c r="I51" s="83"/>
      <c r="J51" s="83"/>
      <c r="K51" s="83"/>
      <c r="L51" s="84"/>
      <c r="M51" s="61" t="s">
        <v>121</v>
      </c>
      <c r="Y51" s="38"/>
      <c r="AB51" s="60"/>
      <c r="AC51" s="60"/>
      <c r="AD51" s="60"/>
      <c r="AE51" s="60"/>
    </row>
    <row r="52" spans="1:31" s="1" customFormat="1" ht="35.25" customHeight="1">
      <c r="A52" s="117" t="s">
        <v>67</v>
      </c>
      <c r="B52" s="118"/>
      <c r="C52" s="118"/>
      <c r="D52" s="118"/>
      <c r="E52" s="118"/>
      <c r="F52" s="118"/>
      <c r="G52" s="118"/>
      <c r="H52" s="118"/>
      <c r="I52" s="118"/>
      <c r="J52" s="118"/>
      <c r="K52" s="118"/>
      <c r="L52" s="118"/>
      <c r="M52" s="118"/>
      <c r="N52" s="118"/>
      <c r="O52" s="118"/>
      <c r="P52" s="118"/>
      <c r="Q52" s="118"/>
      <c r="R52" s="118"/>
      <c r="S52" s="118"/>
      <c r="T52" s="118"/>
      <c r="U52" s="118"/>
      <c r="V52" s="118"/>
      <c r="W52" s="118"/>
      <c r="X52" s="118"/>
      <c r="Y52" s="119"/>
      <c r="AB52" s="2"/>
      <c r="AC52" s="2"/>
      <c r="AD52" s="2"/>
      <c r="AE52" s="2"/>
    </row>
    <row r="53" spans="1:31" s="1" customFormat="1" ht="6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AB53" s="2"/>
      <c r="AC53" s="2"/>
      <c r="AD53" s="2"/>
      <c r="AE53" s="2"/>
    </row>
  </sheetData>
  <mergeCells count="99">
    <mergeCell ref="AF22:AH25"/>
    <mergeCell ref="D39:I39"/>
    <mergeCell ref="D40:I40"/>
    <mergeCell ref="O35:Q35"/>
    <mergeCell ref="W35:Y35"/>
    <mergeCell ref="A35:I35"/>
    <mergeCell ref="R35:V35"/>
    <mergeCell ref="D32:I32"/>
    <mergeCell ref="D33:I33"/>
    <mergeCell ref="D34:I34"/>
    <mergeCell ref="W36:Y36"/>
    <mergeCell ref="W37:Y37"/>
    <mergeCell ref="W38:Y40"/>
    <mergeCell ref="J21:N21"/>
    <mergeCell ref="J22:N22"/>
    <mergeCell ref="J19:N19"/>
    <mergeCell ref="O36:Q36"/>
    <mergeCell ref="O37:Q37"/>
    <mergeCell ref="O32:Q34"/>
    <mergeCell ref="O26:Q28"/>
    <mergeCell ref="O29:Q30"/>
    <mergeCell ref="O31:Q31"/>
    <mergeCell ref="O19:Q20"/>
    <mergeCell ref="O21:Q21"/>
    <mergeCell ref="O22:Q25"/>
    <mergeCell ref="W19:Y20"/>
    <mergeCell ref="R26:V31"/>
    <mergeCell ref="W26:Y31"/>
    <mergeCell ref="R32:V34"/>
    <mergeCell ref="W32:Y34"/>
    <mergeCell ref="R19:V20"/>
    <mergeCell ref="R21:V21"/>
    <mergeCell ref="W21:Y21"/>
    <mergeCell ref="R22:V25"/>
    <mergeCell ref="W22:Y25"/>
    <mergeCell ref="N41:T41"/>
    <mergeCell ref="A36:I36"/>
    <mergeCell ref="O38:Q40"/>
    <mergeCell ref="A37:I37"/>
    <mergeCell ref="A38:C40"/>
    <mergeCell ref="R36:V36"/>
    <mergeCell ref="R37:V37"/>
    <mergeCell ref="D38:I38"/>
    <mergeCell ref="R38:V40"/>
    <mergeCell ref="A19:I20"/>
    <mergeCell ref="A52:Y52"/>
    <mergeCell ref="S9:U9"/>
    <mergeCell ref="S10:U10"/>
    <mergeCell ref="O9:R9"/>
    <mergeCell ref="O10:R10"/>
    <mergeCell ref="V9:Y9"/>
    <mergeCell ref="V10:Y10"/>
    <mergeCell ref="A21:I21"/>
    <mergeCell ref="A22:I22"/>
    <mergeCell ref="A18:I18"/>
    <mergeCell ref="A26:I26"/>
    <mergeCell ref="A45:L45"/>
    <mergeCell ref="U41:Y41"/>
    <mergeCell ref="A31:I31"/>
    <mergeCell ref="A32:C34"/>
    <mergeCell ref="V7:Y7"/>
    <mergeCell ref="L6:N6"/>
    <mergeCell ref="A17:M17"/>
    <mergeCell ref="O8:Y8"/>
    <mergeCell ref="O7:R7"/>
    <mergeCell ref="S7:U7"/>
    <mergeCell ref="L7:N7"/>
    <mergeCell ref="L8:N8"/>
    <mergeCell ref="K6:K10"/>
    <mergeCell ref="D50:L51"/>
    <mergeCell ref="T18:X18"/>
    <mergeCell ref="J18:L18"/>
    <mergeCell ref="M18:Q18"/>
    <mergeCell ref="A1:Y1"/>
    <mergeCell ref="A3:Y3"/>
    <mergeCell ref="C6:F6"/>
    <mergeCell ref="H12:I12"/>
    <mergeCell ref="J12:K12"/>
    <mergeCell ref="L9:N9"/>
    <mergeCell ref="R16:S16"/>
    <mergeCell ref="R13:S13"/>
    <mergeCell ref="R14:S14"/>
    <mergeCell ref="R15:S15"/>
    <mergeCell ref="L10:N10"/>
    <mergeCell ref="O6:Y6"/>
    <mergeCell ref="D49:L49"/>
    <mergeCell ref="D48:L48"/>
    <mergeCell ref="D47:L47"/>
    <mergeCell ref="B23:I23"/>
    <mergeCell ref="B24:I24"/>
    <mergeCell ref="B25:I25"/>
    <mergeCell ref="B27:I27"/>
    <mergeCell ref="B28:I28"/>
    <mergeCell ref="B30:I30"/>
    <mergeCell ref="A42:L42"/>
    <mergeCell ref="A43:L43"/>
    <mergeCell ref="A44:L44"/>
    <mergeCell ref="A41:M41"/>
    <mergeCell ref="A29:I29"/>
  </mergeCells>
  <phoneticPr fontId="2" type="noConversion"/>
  <hyperlinks>
    <hyperlink ref="D49" r:id="rId1" xr:uid="{D4EC795B-C12B-4860-8B0F-9363B51335B3}"/>
  </hyperlinks>
  <printOptions horizontalCentered="1"/>
  <pageMargins left="0.23622047244094491" right="0.23622047244094491" top="0.51181102362204722" bottom="0.27559055118110237" header="0" footer="0"/>
  <pageSetup paperSize="9" scale="55" orientation="portrait" horizontalDpi="4294967293" verticalDpi="4294967293" r:id="rId2"/>
  <headerFooter alignWithMargins="0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견적서</vt:lpstr>
      <vt:lpstr>견적서!Print_Area</vt:lpstr>
    </vt:vector>
  </TitlesOfParts>
  <Company>(주)예스폼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견적서</dc:title>
  <dc:creator>예스폼관리자-오동성</dc:creator>
  <cp:keywords>www.yesform.com</cp:keywords>
  <dc:description>본 문서의 저작권은 예스폼(Yesform)에 있으며 무단 복제 및 배포시 법적인 제재를 받을 수 있습니다.</dc:description>
  <cp:lastModifiedBy>정국 이</cp:lastModifiedBy>
  <cp:lastPrinted>2026-05-06T02:06:31Z</cp:lastPrinted>
  <dcterms:created xsi:type="dcterms:W3CDTF">2008-04-22T07:05:30Z</dcterms:created>
  <dcterms:modified xsi:type="dcterms:W3CDTF">2026-05-08T05:32:26Z</dcterms:modified>
</cp:coreProperties>
</file>